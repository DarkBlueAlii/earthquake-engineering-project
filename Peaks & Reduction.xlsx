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Education\University\Semester 1\Earthquake Engineering\Term Project\Extract\"/>
    </mc:Choice>
  </mc:AlternateContent>
  <xr:revisionPtr revIDLastSave="0" documentId="13_ncr:1_{91EE6DF4-C1F7-4E44-8E8E-41410580421E}" xr6:coauthVersionLast="47" xr6:coauthVersionMax="47" xr10:uidLastSave="{00000000-0000-0000-0000-000000000000}"/>
  <bookViews>
    <workbookView xWindow="-110" yWindow="-110" windowWidth="25820" windowHeight="13900" xr2:uid="{7FA52394-6EF4-40F4-846B-2E3CD2807DBC}"/>
  </bookViews>
  <sheets>
    <sheet name="Displacement" sheetId="1" r:id="rId1"/>
    <sheet name="Story Drift" sheetId="2" r:id="rId2"/>
    <sheet name="Base Shear" sheetId="3" r:id="rId3"/>
    <sheet name="Peak |acceleration|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C25" i="3"/>
  <c r="C23" i="3"/>
  <c r="C22" i="3"/>
  <c r="C20" i="3"/>
  <c r="C19" i="3"/>
  <c r="B26" i="3"/>
  <c r="B23" i="3"/>
  <c r="B25" i="3"/>
  <c r="B22" i="3"/>
  <c r="B20" i="3"/>
  <c r="B19" i="3"/>
  <c r="G23" i="4"/>
  <c r="F23" i="4"/>
  <c r="B31" i="4"/>
  <c r="G31" i="4"/>
  <c r="F31" i="4"/>
  <c r="E31" i="4"/>
  <c r="D31" i="4"/>
  <c r="C31" i="4"/>
  <c r="G27" i="4"/>
  <c r="F27" i="4"/>
  <c r="E27" i="4"/>
  <c r="D27" i="4"/>
  <c r="C27" i="4"/>
  <c r="B27" i="4"/>
  <c r="E23" i="4"/>
  <c r="D23" i="4"/>
  <c r="C23" i="4"/>
  <c r="B23" i="4"/>
  <c r="G30" i="4"/>
  <c r="F30" i="4"/>
  <c r="E30" i="4"/>
  <c r="D30" i="4"/>
  <c r="C30" i="4"/>
  <c r="B30" i="4"/>
  <c r="G26" i="4"/>
  <c r="F26" i="4"/>
  <c r="E26" i="4"/>
  <c r="D26" i="4"/>
  <c r="C26" i="4"/>
  <c r="B26" i="4"/>
  <c r="G22" i="4"/>
  <c r="F22" i="4"/>
  <c r="E22" i="4"/>
  <c r="D22" i="4"/>
  <c r="C22" i="4"/>
  <c r="B22" i="4"/>
  <c r="C24" i="2"/>
  <c r="G32" i="2"/>
  <c r="F32" i="2"/>
  <c r="E32" i="2"/>
  <c r="D32" i="2"/>
  <c r="C32" i="2"/>
  <c r="B32" i="2"/>
  <c r="G28" i="2"/>
  <c r="F28" i="2"/>
  <c r="E28" i="2"/>
  <c r="D28" i="2"/>
  <c r="C28" i="2"/>
  <c r="B28" i="2"/>
  <c r="G24" i="2"/>
  <c r="F24" i="2"/>
  <c r="E24" i="2"/>
  <c r="D24" i="2"/>
  <c r="B24" i="2"/>
  <c r="G31" i="2"/>
  <c r="F31" i="2"/>
  <c r="E31" i="2"/>
  <c r="D31" i="2"/>
  <c r="C31" i="2"/>
  <c r="B31" i="2"/>
  <c r="G27" i="2"/>
  <c r="F27" i="2"/>
  <c r="E27" i="2"/>
  <c r="D27" i="2"/>
  <c r="C27" i="2"/>
  <c r="B27" i="2"/>
  <c r="G23" i="2"/>
  <c r="F23" i="2"/>
  <c r="E23" i="2"/>
  <c r="D23" i="2"/>
  <c r="C23" i="2"/>
  <c r="B23" i="2"/>
  <c r="G31" i="1"/>
  <c r="G30" i="1"/>
  <c r="F31" i="1"/>
  <c r="F30" i="1"/>
  <c r="E31" i="1"/>
  <c r="E30" i="1"/>
  <c r="D31" i="1"/>
  <c r="D30" i="1"/>
  <c r="C31" i="1"/>
  <c r="C30" i="1"/>
  <c r="B31" i="1"/>
  <c r="B30" i="1"/>
  <c r="G27" i="1"/>
  <c r="G26" i="1"/>
  <c r="F27" i="1"/>
  <c r="F26" i="1"/>
  <c r="E27" i="1"/>
  <c r="E26" i="1"/>
  <c r="D27" i="1"/>
  <c r="D26" i="1"/>
  <c r="C27" i="1"/>
  <c r="C26" i="1"/>
  <c r="G23" i="1"/>
  <c r="F23" i="1"/>
  <c r="E23" i="1"/>
  <c r="G22" i="1"/>
  <c r="F22" i="1"/>
  <c r="E22" i="1"/>
  <c r="B27" i="1"/>
  <c r="B26" i="1"/>
  <c r="C22" i="1"/>
  <c r="C23" i="1"/>
  <c r="D23" i="1"/>
  <c r="D22" i="1"/>
  <c r="B23" i="1"/>
  <c r="B22" i="1"/>
</calcChain>
</file>

<file path=xl/sharedStrings.xml><?xml version="1.0" encoding="utf-8"?>
<sst xmlns="http://schemas.openxmlformats.org/spreadsheetml/2006/main" count="213" uniqueCount="27">
  <si>
    <t>Baseline</t>
  </si>
  <si>
    <t>C=1200</t>
  </si>
  <si>
    <t>C=1800</t>
  </si>
  <si>
    <t>Lomap</t>
  </si>
  <si>
    <t>NorthR</t>
  </si>
  <si>
    <t>Story 1</t>
  </si>
  <si>
    <t>Story 2</t>
  </si>
  <si>
    <t>Story 3</t>
  </si>
  <si>
    <t>Loma Prieta</t>
  </si>
  <si>
    <t>Northridge</t>
  </si>
  <si>
    <t xml:space="preserve">Baseline </t>
  </si>
  <si>
    <t>C=600 kN-s/m</t>
  </si>
  <si>
    <t>C=1200 kN-s/m</t>
  </si>
  <si>
    <t>C=1800 kN-s/m</t>
  </si>
  <si>
    <t>1 Big Damper (mm)</t>
  </si>
  <si>
    <t>3 Small Dampers (mm)</t>
  </si>
  <si>
    <t>Base Shear</t>
  </si>
  <si>
    <t>Reduction (%)</t>
  </si>
  <si>
    <t>1 Big Damper (kN)</t>
  </si>
  <si>
    <t>Reduction %</t>
  </si>
  <si>
    <t>Peak Floor Acceleration</t>
  </si>
  <si>
    <t xml:space="preserve">C=600 </t>
  </si>
  <si>
    <t>Displacement</t>
  </si>
  <si>
    <t>Max Storey Drift</t>
  </si>
  <si>
    <t>3 Small Dampers</t>
  </si>
  <si>
    <t>3 Small Dampers (m/s2)</t>
  </si>
  <si>
    <t>1 Big Damper (m/s2)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</si>
</sst>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0" fillId="4" borderId="8" xfId="0" applyNumberFormat="1" applyFill="1" applyBorder="1" applyAlignment="1">
      <alignment horizontal="center" vertical="center"/>
    </xf>
    <xf numFmtId="2" fontId="0" fillId="4" borderId="2" xfId="0" applyNumberForma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2" fontId="0" fillId="4" borderId="10" xfId="0" applyNumberFormat="1" applyFill="1" applyBorder="1" applyAlignment="1">
      <alignment horizontal="center" vertical="center"/>
    </xf>
    <xf numFmtId="2" fontId="0" fillId="4" borderId="11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2" fontId="0" fillId="2" borderId="7" xfId="0" applyNumberFormat="1" applyFill="1" applyBorder="1" applyAlignment="1">
      <alignment horizontal="center" vertical="center"/>
    </xf>
    <xf numFmtId="2" fontId="0" fillId="2" borderId="8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  <xf numFmtId="2" fontId="0" fillId="2" borderId="9" xfId="0" applyNumberForma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2" fontId="0" fillId="3" borderId="9" xfId="0" applyNumberFormat="1" applyFill="1" applyBorder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  <xf numFmtId="2" fontId="0" fillId="4" borderId="7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2" fontId="0" fillId="2" borderId="10" xfId="0" applyNumberFormat="1" applyFill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2" fontId="0" fillId="3" borderId="10" xfId="0" applyNumberFormat="1" applyFill="1" applyBorder="1" applyAlignment="1">
      <alignment horizontal="center" vertical="center"/>
    </xf>
    <xf numFmtId="2" fontId="0" fillId="3" borderId="11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748C4-CB86-46C9-8443-DA33E041D80D}">
  <dimension ref="A1:W31"/>
  <sheetViews>
    <sheetView tabSelected="1" zoomScale="90" zoomScaleNormal="90" workbookViewId="0">
      <selection activeCell="I18" sqref="I18"/>
    </sheetView>
  </sheetViews>
  <sheetFormatPr defaultRowHeight="14.5" x14ac:dyDescent="0.35"/>
  <cols>
    <col min="1" max="1" width="12.08984375" style="1" customWidth="1"/>
    <col min="2" max="7" width="8.7265625" style="1"/>
    <col min="8" max="8" width="8.7265625" style="27"/>
    <col min="9" max="16384" width="8.7265625" style="1"/>
  </cols>
  <sheetData>
    <row r="1" spans="1:23" x14ac:dyDescent="0.35">
      <c r="B1" s="86" t="s">
        <v>22</v>
      </c>
      <c r="C1" s="87"/>
      <c r="D1" s="87"/>
      <c r="E1" s="87"/>
      <c r="F1" s="87"/>
      <c r="G1" s="88"/>
    </row>
    <row r="2" spans="1:23" x14ac:dyDescent="0.35">
      <c r="B2" s="86" t="s">
        <v>14</v>
      </c>
      <c r="C2" s="87"/>
      <c r="D2" s="87"/>
      <c r="E2" s="86" t="s">
        <v>15</v>
      </c>
      <c r="F2" s="87"/>
      <c r="G2" s="88"/>
      <c r="T2" s="92"/>
      <c r="U2" s="92"/>
      <c r="V2" s="92"/>
      <c r="W2" s="92"/>
    </row>
    <row r="3" spans="1:23" x14ac:dyDescent="0.35">
      <c r="B3" s="53" t="s">
        <v>5</v>
      </c>
      <c r="C3" s="54" t="s">
        <v>6</v>
      </c>
      <c r="D3" s="54" t="s">
        <v>7</v>
      </c>
      <c r="E3" s="53" t="s">
        <v>5</v>
      </c>
      <c r="F3" s="54" t="s">
        <v>6</v>
      </c>
      <c r="G3" s="55" t="s">
        <v>7</v>
      </c>
      <c r="H3" s="89" t="s">
        <v>21</v>
      </c>
    </row>
    <row r="4" spans="1:23" x14ac:dyDescent="0.35">
      <c r="A4" s="2" t="s">
        <v>8</v>
      </c>
      <c r="B4" s="38">
        <v>0.64200000000000002</v>
      </c>
      <c r="C4" s="4">
        <v>1.1970000000000001</v>
      </c>
      <c r="D4" s="5">
        <v>1.4490000000000001</v>
      </c>
      <c r="E4" s="38">
        <v>0.64100000000000001</v>
      </c>
      <c r="F4" s="4">
        <v>1.194</v>
      </c>
      <c r="G4" s="4">
        <v>1.4450000000000001</v>
      </c>
      <c r="H4" s="90"/>
    </row>
    <row r="5" spans="1:23" x14ac:dyDescent="0.35">
      <c r="A5" s="3" t="s">
        <v>9</v>
      </c>
      <c r="B5" s="6">
        <v>0.86799999999999999</v>
      </c>
      <c r="C5" s="7">
        <v>1.758</v>
      </c>
      <c r="D5" s="8">
        <v>2.214</v>
      </c>
      <c r="E5" s="6">
        <v>0.93</v>
      </c>
      <c r="F5" s="7">
        <v>1.891</v>
      </c>
      <c r="G5" s="7">
        <v>2.3759999999999999</v>
      </c>
      <c r="H5" s="91"/>
    </row>
    <row r="7" spans="1:23" x14ac:dyDescent="0.35">
      <c r="B7" s="45" t="s">
        <v>5</v>
      </c>
      <c r="C7" s="46" t="s">
        <v>6</v>
      </c>
      <c r="D7" s="46" t="s">
        <v>7</v>
      </c>
      <c r="E7" s="45" t="s">
        <v>5</v>
      </c>
      <c r="F7" s="46" t="s">
        <v>6</v>
      </c>
      <c r="G7" s="59" t="s">
        <v>7</v>
      </c>
      <c r="H7" s="89" t="s">
        <v>1</v>
      </c>
    </row>
    <row r="8" spans="1:23" x14ac:dyDescent="0.35">
      <c r="A8" s="2" t="s">
        <v>8</v>
      </c>
      <c r="B8" s="10">
        <v>0.63900000000000001</v>
      </c>
      <c r="C8" s="11">
        <v>1.1910000000000001</v>
      </c>
      <c r="D8" s="12">
        <v>1.4419999999999999</v>
      </c>
      <c r="E8" s="10">
        <v>0.64100000000000001</v>
      </c>
      <c r="F8" s="11">
        <v>1.194</v>
      </c>
      <c r="G8" s="11">
        <v>1.4370000000000001</v>
      </c>
      <c r="H8" s="90"/>
    </row>
    <row r="9" spans="1:23" x14ac:dyDescent="0.35">
      <c r="A9" s="3" t="s">
        <v>9</v>
      </c>
      <c r="B9" s="13">
        <v>0.875</v>
      </c>
      <c r="C9" s="9">
        <v>1.667</v>
      </c>
      <c r="D9" s="14">
        <v>2.0379999999999998</v>
      </c>
      <c r="E9" s="13">
        <v>0.86399999999999999</v>
      </c>
      <c r="F9" s="9">
        <v>1.617</v>
      </c>
      <c r="G9" s="9">
        <v>1.9590000000000001</v>
      </c>
      <c r="H9" s="91"/>
    </row>
    <row r="11" spans="1:23" x14ac:dyDescent="0.35">
      <c r="B11" s="47" t="s">
        <v>5</v>
      </c>
      <c r="C11" s="48" t="s">
        <v>6</v>
      </c>
      <c r="D11" s="48" t="s">
        <v>7</v>
      </c>
      <c r="E11" s="47" t="s">
        <v>5</v>
      </c>
      <c r="F11" s="48" t="s">
        <v>6</v>
      </c>
      <c r="G11" s="49" t="s">
        <v>7</v>
      </c>
      <c r="H11" s="89" t="s">
        <v>2</v>
      </c>
    </row>
    <row r="12" spans="1:23" x14ac:dyDescent="0.35">
      <c r="A12" s="2" t="s">
        <v>8</v>
      </c>
      <c r="B12" s="17">
        <v>0.63100000000000001</v>
      </c>
      <c r="C12" s="18">
        <v>1.177</v>
      </c>
      <c r="D12" s="19">
        <v>1.4259999999999999</v>
      </c>
      <c r="E12" s="17">
        <v>0.63700000000000001</v>
      </c>
      <c r="F12" s="18">
        <v>1.1850000000000001</v>
      </c>
      <c r="G12" s="18">
        <v>1.4330000000000001</v>
      </c>
      <c r="H12" s="90"/>
    </row>
    <row r="13" spans="1:23" x14ac:dyDescent="0.35">
      <c r="A13" s="3" t="s">
        <v>9</v>
      </c>
      <c r="B13" s="15">
        <v>0.88</v>
      </c>
      <c r="C13" s="16">
        <v>1.68</v>
      </c>
      <c r="D13" s="20">
        <v>2.0550000000000002</v>
      </c>
      <c r="E13" s="15">
        <v>0.88200000000000001</v>
      </c>
      <c r="F13" s="16">
        <v>1.6539999999999999</v>
      </c>
      <c r="G13" s="16">
        <v>2.004</v>
      </c>
      <c r="H13" s="91"/>
    </row>
    <row r="15" spans="1:23" x14ac:dyDescent="0.35">
      <c r="B15" s="34" t="s">
        <v>5</v>
      </c>
      <c r="C15" s="35" t="s">
        <v>6</v>
      </c>
      <c r="D15" s="44" t="s">
        <v>7</v>
      </c>
      <c r="H15" s="89" t="s">
        <v>0</v>
      </c>
    </row>
    <row r="16" spans="1:23" x14ac:dyDescent="0.35">
      <c r="A16" s="2" t="s">
        <v>8</v>
      </c>
      <c r="B16" s="23">
        <v>0.77200000000000002</v>
      </c>
      <c r="C16" s="24">
        <v>1.4650000000000001</v>
      </c>
      <c r="D16" s="25">
        <v>1.7889999999999999</v>
      </c>
      <c r="H16" s="90"/>
    </row>
    <row r="17" spans="1:8" x14ac:dyDescent="0.35">
      <c r="A17" s="3" t="s">
        <v>9</v>
      </c>
      <c r="B17" s="21">
        <v>1.345</v>
      </c>
      <c r="C17" s="22">
        <v>2.7149999999999999</v>
      </c>
      <c r="D17" s="26">
        <v>3.4140000000000001</v>
      </c>
      <c r="H17" s="91"/>
    </row>
    <row r="20" spans="1:8" x14ac:dyDescent="0.35">
      <c r="B20" s="86" t="s">
        <v>19</v>
      </c>
      <c r="C20" s="87"/>
      <c r="D20" s="87"/>
      <c r="E20" s="87"/>
      <c r="F20" s="87"/>
      <c r="G20" s="88"/>
    </row>
    <row r="21" spans="1:8" x14ac:dyDescent="0.35">
      <c r="B21" s="56" t="s">
        <v>5</v>
      </c>
      <c r="C21" s="57" t="s">
        <v>6</v>
      </c>
      <c r="D21" s="57" t="s">
        <v>7</v>
      </c>
      <c r="E21" s="56" t="s">
        <v>5</v>
      </c>
      <c r="F21" s="57" t="s">
        <v>6</v>
      </c>
      <c r="G21" s="58" t="s">
        <v>7</v>
      </c>
      <c r="H21" s="89" t="s">
        <v>21</v>
      </c>
    </row>
    <row r="22" spans="1:8" ht="14.5" customHeight="1" x14ac:dyDescent="0.35">
      <c r="A22" s="2" t="s">
        <v>3</v>
      </c>
      <c r="B22" s="60">
        <f t="shared" ref="B22:D23" si="0">((B16-B4)/B16)*100</f>
        <v>16.839378238341968</v>
      </c>
      <c r="C22" s="61">
        <f t="shared" si="0"/>
        <v>18.293515358361777</v>
      </c>
      <c r="D22" s="61">
        <f t="shared" si="0"/>
        <v>19.005030743432076</v>
      </c>
      <c r="E22" s="60">
        <f t="shared" ref="E22:G23" si="1">((B16-E4)/B16)*100</f>
        <v>16.968911917098445</v>
      </c>
      <c r="F22" s="61">
        <f t="shared" si="1"/>
        <v>18.49829351535837</v>
      </c>
      <c r="G22" s="66">
        <f t="shared" si="1"/>
        <v>19.228619340413633</v>
      </c>
      <c r="H22" s="90"/>
    </row>
    <row r="23" spans="1:8" ht="14.5" customHeight="1" x14ac:dyDescent="0.35">
      <c r="A23" s="3" t="s">
        <v>4</v>
      </c>
      <c r="B23" s="62">
        <f t="shared" si="0"/>
        <v>35.464684014869889</v>
      </c>
      <c r="C23" s="63">
        <f t="shared" si="0"/>
        <v>35.248618784530386</v>
      </c>
      <c r="D23" s="63">
        <f t="shared" si="0"/>
        <v>35.149384885764498</v>
      </c>
      <c r="E23" s="62">
        <f t="shared" si="1"/>
        <v>30.85501858736059</v>
      </c>
      <c r="F23" s="63">
        <f t="shared" si="1"/>
        <v>30.34990791896869</v>
      </c>
      <c r="G23" s="67">
        <f t="shared" si="1"/>
        <v>30.404217926186298</v>
      </c>
      <c r="H23" s="91"/>
    </row>
    <row r="25" spans="1:8" x14ac:dyDescent="0.35">
      <c r="B25" s="45" t="s">
        <v>5</v>
      </c>
      <c r="C25" s="46" t="s">
        <v>6</v>
      </c>
      <c r="D25" s="46" t="s">
        <v>7</v>
      </c>
      <c r="E25" s="45" t="s">
        <v>5</v>
      </c>
      <c r="F25" s="46" t="s">
        <v>6</v>
      </c>
      <c r="G25" s="59" t="s">
        <v>7</v>
      </c>
      <c r="H25" s="89" t="s">
        <v>1</v>
      </c>
    </row>
    <row r="26" spans="1:8" x14ac:dyDescent="0.35">
      <c r="A26" s="2" t="s">
        <v>3</v>
      </c>
      <c r="B26" s="29">
        <f t="shared" ref="B26:D27" si="2">((B16-B8)/B16)*100</f>
        <v>17.2279792746114</v>
      </c>
      <c r="C26" s="29">
        <f t="shared" si="2"/>
        <v>18.703071672354948</v>
      </c>
      <c r="D26" s="29">
        <f t="shared" si="2"/>
        <v>19.396310788149805</v>
      </c>
      <c r="E26" s="28">
        <f t="shared" ref="E26:G27" si="3">((B16-E8)/B16)*100</f>
        <v>16.968911917098445</v>
      </c>
      <c r="F26" s="29">
        <f t="shared" si="3"/>
        <v>18.49829351535837</v>
      </c>
      <c r="G26" s="68">
        <f t="shared" si="3"/>
        <v>19.67579653437674</v>
      </c>
      <c r="H26" s="90"/>
    </row>
    <row r="27" spans="1:8" x14ac:dyDescent="0.35">
      <c r="A27" s="3" t="s">
        <v>4</v>
      </c>
      <c r="B27" s="31">
        <f t="shared" si="2"/>
        <v>34.944237918215613</v>
      </c>
      <c r="C27" s="31">
        <f t="shared" si="2"/>
        <v>38.600368324125228</v>
      </c>
      <c r="D27" s="31">
        <f t="shared" si="2"/>
        <v>40.3046280023433</v>
      </c>
      <c r="E27" s="30">
        <f t="shared" si="3"/>
        <v>35.762081784386616</v>
      </c>
      <c r="F27" s="31">
        <f t="shared" si="3"/>
        <v>40.44198895027624</v>
      </c>
      <c r="G27" s="69">
        <f t="shared" si="3"/>
        <v>42.618629173989454</v>
      </c>
      <c r="H27" s="91"/>
    </row>
    <row r="29" spans="1:8" x14ac:dyDescent="0.35">
      <c r="B29" s="47" t="s">
        <v>5</v>
      </c>
      <c r="C29" s="48" t="s">
        <v>6</v>
      </c>
      <c r="D29" s="48" t="s">
        <v>7</v>
      </c>
      <c r="E29" s="47" t="s">
        <v>5</v>
      </c>
      <c r="F29" s="48" t="s">
        <v>6</v>
      </c>
      <c r="G29" s="49" t="s">
        <v>7</v>
      </c>
      <c r="H29" s="89" t="s">
        <v>2</v>
      </c>
    </row>
    <row r="30" spans="1:8" x14ac:dyDescent="0.35">
      <c r="A30" s="2" t="s">
        <v>3</v>
      </c>
      <c r="B30" s="32">
        <f t="shared" ref="B30:D31" si="4">((B16-B12)/B16)*100</f>
        <v>18.264248704663213</v>
      </c>
      <c r="C30" s="32">
        <f t="shared" si="4"/>
        <v>19.658703071672356</v>
      </c>
      <c r="D30" s="32">
        <f t="shared" si="4"/>
        <v>20.290665176076018</v>
      </c>
      <c r="E30" s="70">
        <f t="shared" ref="E30:G31" si="5">((B16-E12)/B16)*100</f>
        <v>17.487046632124354</v>
      </c>
      <c r="F30" s="32">
        <f t="shared" si="5"/>
        <v>19.112627986348123</v>
      </c>
      <c r="G30" s="64">
        <f t="shared" si="5"/>
        <v>19.899385131358294</v>
      </c>
      <c r="H30" s="90"/>
    </row>
    <row r="31" spans="1:8" x14ac:dyDescent="0.35">
      <c r="A31" s="3" t="s">
        <v>4</v>
      </c>
      <c r="B31" s="33">
        <f t="shared" si="4"/>
        <v>34.572490706319705</v>
      </c>
      <c r="C31" s="33">
        <f t="shared" si="4"/>
        <v>38.121546961325961</v>
      </c>
      <c r="D31" s="33">
        <f t="shared" si="4"/>
        <v>39.806678383128293</v>
      </c>
      <c r="E31" s="71">
        <f t="shared" si="5"/>
        <v>34.423791821561338</v>
      </c>
      <c r="F31" s="33">
        <f t="shared" si="5"/>
        <v>39.079189686924494</v>
      </c>
      <c r="G31" s="65">
        <f t="shared" si="5"/>
        <v>41.300527240773292</v>
      </c>
      <c r="H31" s="91"/>
    </row>
  </sheetData>
  <mergeCells count="13">
    <mergeCell ref="H29:H31"/>
    <mergeCell ref="H15:H17"/>
    <mergeCell ref="V2:W2"/>
    <mergeCell ref="T2:U2"/>
    <mergeCell ref="B20:G20"/>
    <mergeCell ref="H21:H23"/>
    <mergeCell ref="H25:H27"/>
    <mergeCell ref="B1:G1"/>
    <mergeCell ref="E2:G2"/>
    <mergeCell ref="B2:D2"/>
    <mergeCell ref="H11:H13"/>
    <mergeCell ref="H7:H9"/>
    <mergeCell ref="H3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76CE3-928F-4B57-93C6-F1AA29A22D9E}">
  <dimension ref="A1:S32"/>
  <sheetViews>
    <sheetView zoomScale="90" zoomScaleNormal="90" workbookViewId="0">
      <selection activeCell="D34" sqref="D34"/>
    </sheetView>
  </sheetViews>
  <sheetFormatPr defaultRowHeight="14.5" x14ac:dyDescent="0.35"/>
  <cols>
    <col min="1" max="1" width="10.81640625" bestFit="1" customWidth="1"/>
    <col min="8" max="8" width="13.453125" style="27" bestFit="1" customWidth="1"/>
  </cols>
  <sheetData>
    <row r="1" spans="1:19" ht="18.5" x14ac:dyDescent="0.35">
      <c r="B1" s="93" t="s">
        <v>23</v>
      </c>
      <c r="C1" s="94"/>
      <c r="D1" s="94"/>
      <c r="E1" s="94"/>
      <c r="F1" s="94"/>
      <c r="G1" s="95"/>
    </row>
    <row r="2" spans="1:19" x14ac:dyDescent="0.35">
      <c r="B2" s="86" t="s">
        <v>14</v>
      </c>
      <c r="C2" s="87"/>
      <c r="D2" s="88"/>
      <c r="E2" s="96" t="s">
        <v>15</v>
      </c>
      <c r="F2" s="97"/>
      <c r="G2" s="98"/>
    </row>
    <row r="3" spans="1:19" x14ac:dyDescent="0.35">
      <c r="B3" s="56" t="s">
        <v>5</v>
      </c>
      <c r="C3" s="57" t="s">
        <v>6</v>
      </c>
      <c r="D3" s="57" t="s">
        <v>7</v>
      </c>
      <c r="E3" s="56" t="s">
        <v>5</v>
      </c>
      <c r="F3" s="57" t="s">
        <v>6</v>
      </c>
      <c r="G3" s="58" t="s">
        <v>7</v>
      </c>
      <c r="H3" s="89" t="s">
        <v>11</v>
      </c>
    </row>
    <row r="4" spans="1:19" x14ac:dyDescent="0.35">
      <c r="A4" s="2" t="s">
        <v>8</v>
      </c>
      <c r="B4" s="38">
        <v>0.214</v>
      </c>
      <c r="C4" s="4">
        <v>0.185</v>
      </c>
      <c r="D4" s="5">
        <v>8.4000000000000005E-2</v>
      </c>
      <c r="E4" s="38">
        <v>0.214</v>
      </c>
      <c r="F4" s="4">
        <v>0.184</v>
      </c>
      <c r="G4" s="4">
        <v>8.4000000000000005E-2</v>
      </c>
      <c r="H4" s="90"/>
    </row>
    <row r="5" spans="1:19" x14ac:dyDescent="0.35">
      <c r="A5" s="3" t="s">
        <v>9</v>
      </c>
      <c r="B5" s="6">
        <v>0.28899999999999998</v>
      </c>
      <c r="C5" s="7">
        <v>0.29699999999999999</v>
      </c>
      <c r="D5" s="8">
        <v>0.152</v>
      </c>
      <c r="E5" s="6">
        <v>0.31</v>
      </c>
      <c r="F5" s="7">
        <v>0.32</v>
      </c>
      <c r="G5" s="7">
        <v>0.16200000000000001</v>
      </c>
      <c r="H5" s="91"/>
    </row>
    <row r="6" spans="1:19" x14ac:dyDescent="0.35">
      <c r="A6" s="1"/>
      <c r="B6" s="1"/>
      <c r="C6" s="1"/>
      <c r="D6" s="1"/>
      <c r="E6" s="1"/>
      <c r="F6" s="1"/>
      <c r="G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5">
      <c r="A7" s="1"/>
      <c r="B7" s="45" t="s">
        <v>5</v>
      </c>
      <c r="C7" s="46" t="s">
        <v>6</v>
      </c>
      <c r="D7" s="46" t="s">
        <v>7</v>
      </c>
      <c r="E7" s="45" t="s">
        <v>5</v>
      </c>
      <c r="F7" s="46" t="s">
        <v>6</v>
      </c>
      <c r="G7" s="59" t="s">
        <v>7</v>
      </c>
      <c r="H7" s="89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5">
      <c r="A8" s="2" t="s">
        <v>8</v>
      </c>
      <c r="B8" s="10">
        <v>0.21299999999999999</v>
      </c>
      <c r="C8" s="11">
        <v>0.184</v>
      </c>
      <c r="D8" s="12">
        <v>8.4000000000000005E-2</v>
      </c>
      <c r="E8" s="10">
        <v>0.214</v>
      </c>
      <c r="F8" s="11">
        <v>0.184</v>
      </c>
      <c r="G8" s="11">
        <v>8.4000000000000005E-2</v>
      </c>
      <c r="H8" s="90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35">
      <c r="A9" s="3" t="s">
        <v>9</v>
      </c>
      <c r="B9" s="13">
        <v>0.29199999999999998</v>
      </c>
      <c r="C9" s="9">
        <v>0.26400000000000001</v>
      </c>
      <c r="D9" s="14">
        <v>0.127</v>
      </c>
      <c r="E9" s="13">
        <v>0.28799999999999998</v>
      </c>
      <c r="F9" s="9">
        <v>0.254</v>
      </c>
      <c r="G9" s="9">
        <v>0.123</v>
      </c>
      <c r="H9" s="9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5">
      <c r="A10" s="1"/>
      <c r="B10" s="1"/>
      <c r="C10" s="1"/>
      <c r="D10" s="1"/>
      <c r="E10" s="1"/>
      <c r="F10" s="1"/>
      <c r="G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5">
      <c r="A11" s="1"/>
      <c r="B11" s="47" t="s">
        <v>5</v>
      </c>
      <c r="C11" s="48" t="s">
        <v>6</v>
      </c>
      <c r="D11" s="48" t="s">
        <v>7</v>
      </c>
      <c r="E11" s="47" t="s">
        <v>5</v>
      </c>
      <c r="F11" s="48" t="s">
        <v>6</v>
      </c>
      <c r="G11" s="49" t="s">
        <v>7</v>
      </c>
      <c r="H11" s="89" t="s">
        <v>13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5">
      <c r="A12" s="39" t="s">
        <v>8</v>
      </c>
      <c r="B12" s="17">
        <v>0.21</v>
      </c>
      <c r="C12" s="18">
        <v>0.183</v>
      </c>
      <c r="D12" s="19">
        <v>8.4000000000000005E-2</v>
      </c>
      <c r="E12" s="17">
        <v>0.21199999999999999</v>
      </c>
      <c r="F12" s="18">
        <v>0.183</v>
      </c>
      <c r="G12" s="19">
        <v>8.3000000000000004E-2</v>
      </c>
      <c r="H12" s="9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5">
      <c r="A13" s="43" t="s">
        <v>9</v>
      </c>
      <c r="B13" s="15">
        <v>0.29299999999999998</v>
      </c>
      <c r="C13" s="16">
        <v>0.26700000000000002</v>
      </c>
      <c r="D13" s="20">
        <v>0.125</v>
      </c>
      <c r="E13" s="15">
        <v>0.29399999999999998</v>
      </c>
      <c r="F13" s="16">
        <v>0.25700000000000001</v>
      </c>
      <c r="G13" s="20">
        <v>0.14699999999999999</v>
      </c>
      <c r="H13" s="9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5">
      <c r="A14" s="1"/>
      <c r="B14" s="1"/>
      <c r="C14" s="1"/>
      <c r="D14" s="1"/>
      <c r="E14" s="1"/>
      <c r="F14" s="1"/>
      <c r="G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5">
      <c r="A15" s="1"/>
      <c r="B15" s="50" t="s">
        <v>5</v>
      </c>
      <c r="C15" s="51" t="s">
        <v>6</v>
      </c>
      <c r="D15" s="52" t="s">
        <v>7</v>
      </c>
      <c r="E15" s="1"/>
      <c r="F15" s="1"/>
      <c r="G15" s="1"/>
      <c r="H15" s="89" t="s">
        <v>10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5">
      <c r="A16" s="2" t="s">
        <v>8</v>
      </c>
      <c r="B16" s="24">
        <v>0.25700000000000001</v>
      </c>
      <c r="C16" s="24">
        <v>0.23100000000000001</v>
      </c>
      <c r="D16" s="25">
        <v>0.109</v>
      </c>
      <c r="E16" s="1"/>
      <c r="F16" s="1"/>
      <c r="G16" s="1"/>
      <c r="H16" s="9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5">
      <c r="A17" s="3" t="s">
        <v>9</v>
      </c>
      <c r="B17" s="22">
        <v>0.44800000000000001</v>
      </c>
      <c r="C17" s="22">
        <v>0.45700000000000002</v>
      </c>
      <c r="D17" s="26">
        <v>0.23300000000000001</v>
      </c>
      <c r="E17" s="1"/>
      <c r="F17" s="1"/>
      <c r="G17" s="1"/>
      <c r="H17" s="9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5">
      <c r="A18" s="1"/>
      <c r="B18" s="1"/>
      <c r="C18" s="1"/>
      <c r="D18" s="1"/>
      <c r="E18" s="1"/>
      <c r="F18" s="1"/>
      <c r="G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5">
      <c r="A19" s="1"/>
      <c r="B19" s="1"/>
      <c r="C19" s="1"/>
      <c r="D19" s="1"/>
      <c r="E19" s="1"/>
      <c r="F19" s="1"/>
      <c r="G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5">
      <c r="A20" s="1"/>
      <c r="B20" s="1"/>
      <c r="C20" s="1"/>
      <c r="D20" s="1"/>
      <c r="E20" s="1"/>
      <c r="F20" s="1"/>
      <c r="G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8.5" x14ac:dyDescent="0.35">
      <c r="A21" s="1"/>
      <c r="B21" s="99" t="s">
        <v>19</v>
      </c>
      <c r="C21" s="100"/>
      <c r="D21" s="100"/>
      <c r="E21" s="100"/>
      <c r="F21" s="100"/>
      <c r="G21" s="101"/>
      <c r="H21" s="8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5">
      <c r="A22" s="1"/>
      <c r="B22" s="56" t="s">
        <v>5</v>
      </c>
      <c r="C22" s="57" t="s">
        <v>6</v>
      </c>
      <c r="D22" s="57" t="s">
        <v>7</v>
      </c>
      <c r="E22" s="56" t="s">
        <v>5</v>
      </c>
      <c r="F22" s="57" t="s">
        <v>6</v>
      </c>
      <c r="G22" s="58" t="s">
        <v>7</v>
      </c>
      <c r="H22" s="89" t="s">
        <v>11</v>
      </c>
    </row>
    <row r="23" spans="1:19" x14ac:dyDescent="0.35">
      <c r="A23" s="2" t="s">
        <v>3</v>
      </c>
      <c r="B23" s="60">
        <f t="shared" ref="B23:D24" si="0">((B16-B4)/B16)*100</f>
        <v>16.731517509727631</v>
      </c>
      <c r="C23" s="61">
        <f t="shared" si="0"/>
        <v>19.913419913419919</v>
      </c>
      <c r="D23" s="61">
        <f t="shared" si="0"/>
        <v>22.935779816513758</v>
      </c>
      <c r="E23" s="60">
        <f t="shared" ref="E23:G24" si="1">((B16-E4)/B16)*100</f>
        <v>16.731517509727631</v>
      </c>
      <c r="F23" s="61">
        <f t="shared" si="1"/>
        <v>20.346320346320351</v>
      </c>
      <c r="G23" s="66">
        <f t="shared" si="1"/>
        <v>22.935779816513758</v>
      </c>
      <c r="H23" s="90"/>
    </row>
    <row r="24" spans="1:19" x14ac:dyDescent="0.35">
      <c r="A24" s="3" t="s">
        <v>4</v>
      </c>
      <c r="B24" s="62">
        <f t="shared" si="0"/>
        <v>35.491071428571438</v>
      </c>
      <c r="C24" s="63">
        <f t="shared" si="0"/>
        <v>35.010940919037203</v>
      </c>
      <c r="D24" s="63">
        <f t="shared" si="0"/>
        <v>34.763948497854081</v>
      </c>
      <c r="E24" s="62">
        <f t="shared" si="1"/>
        <v>30.803571428571431</v>
      </c>
      <c r="F24" s="63">
        <f t="shared" si="1"/>
        <v>29.978118161925604</v>
      </c>
      <c r="G24" s="67">
        <f t="shared" si="1"/>
        <v>30.472103004291846</v>
      </c>
      <c r="H24" s="91"/>
    </row>
    <row r="26" spans="1:19" x14ac:dyDescent="0.35">
      <c r="B26" s="45" t="s">
        <v>5</v>
      </c>
      <c r="C26" s="46" t="s">
        <v>6</v>
      </c>
      <c r="D26" s="59" t="s">
        <v>7</v>
      </c>
      <c r="E26" s="45" t="s">
        <v>5</v>
      </c>
      <c r="F26" s="46" t="s">
        <v>6</v>
      </c>
      <c r="G26" s="59" t="s">
        <v>7</v>
      </c>
      <c r="H26" s="89" t="s">
        <v>12</v>
      </c>
    </row>
    <row r="27" spans="1:19" x14ac:dyDescent="0.35">
      <c r="B27" s="28">
        <f t="shared" ref="B27:D28" si="2">((B16-B8)/B16)*100</f>
        <v>17.120622568093388</v>
      </c>
      <c r="C27" s="29">
        <f t="shared" si="2"/>
        <v>20.346320346320351</v>
      </c>
      <c r="D27" s="68">
        <f t="shared" si="2"/>
        <v>22.935779816513758</v>
      </c>
      <c r="E27" s="28">
        <f t="shared" ref="E27:G28" si="3">((B16-E8)/B16)*100</f>
        <v>16.731517509727631</v>
      </c>
      <c r="F27" s="29">
        <f t="shared" si="3"/>
        <v>20.346320346320351</v>
      </c>
      <c r="G27" s="68">
        <f t="shared" si="3"/>
        <v>22.935779816513758</v>
      </c>
      <c r="H27" s="90"/>
    </row>
    <row r="28" spans="1:19" x14ac:dyDescent="0.35">
      <c r="B28" s="30">
        <f t="shared" si="2"/>
        <v>34.821428571428577</v>
      </c>
      <c r="C28" s="31">
        <f t="shared" si="2"/>
        <v>42.23194748358862</v>
      </c>
      <c r="D28" s="69">
        <f t="shared" si="2"/>
        <v>45.493562231759661</v>
      </c>
      <c r="E28" s="30">
        <f t="shared" si="3"/>
        <v>35.714285714285722</v>
      </c>
      <c r="F28" s="31">
        <f t="shared" si="3"/>
        <v>44.420131291028447</v>
      </c>
      <c r="G28" s="69">
        <f t="shared" si="3"/>
        <v>47.210300429184556</v>
      </c>
      <c r="H28" s="91"/>
    </row>
    <row r="30" spans="1:19" x14ac:dyDescent="0.35">
      <c r="B30" s="47" t="s">
        <v>5</v>
      </c>
      <c r="C30" s="48" t="s">
        <v>6</v>
      </c>
      <c r="D30" s="49" t="s">
        <v>7</v>
      </c>
      <c r="E30" s="47" t="s">
        <v>5</v>
      </c>
      <c r="F30" s="48" t="s">
        <v>6</v>
      </c>
      <c r="G30" s="49" t="s">
        <v>7</v>
      </c>
      <c r="H30" s="89" t="s">
        <v>13</v>
      </c>
    </row>
    <row r="31" spans="1:19" x14ac:dyDescent="0.35">
      <c r="B31" s="70">
        <f t="shared" ref="B31:D32" si="4">((B16-B12)/B16)*100</f>
        <v>18.287937743190668</v>
      </c>
      <c r="C31" s="32">
        <f t="shared" si="4"/>
        <v>20.779220779220783</v>
      </c>
      <c r="D31" s="64">
        <f t="shared" si="4"/>
        <v>22.935779816513758</v>
      </c>
      <c r="E31" s="70">
        <f t="shared" ref="E31:G32" si="5">((B16-E12)/B16)*100</f>
        <v>17.509727626459149</v>
      </c>
      <c r="F31" s="32">
        <f t="shared" si="5"/>
        <v>20.779220779220783</v>
      </c>
      <c r="G31" s="64">
        <f t="shared" si="5"/>
        <v>23.853211009174309</v>
      </c>
      <c r="H31" s="90"/>
    </row>
    <row r="32" spans="1:19" x14ac:dyDescent="0.35">
      <c r="B32" s="71">
        <f t="shared" si="4"/>
        <v>34.598214285714292</v>
      </c>
      <c r="C32" s="33">
        <f t="shared" si="4"/>
        <v>41.575492341356671</v>
      </c>
      <c r="D32" s="65">
        <f t="shared" si="4"/>
        <v>46.351931330472105</v>
      </c>
      <c r="E32" s="71">
        <f t="shared" si="5"/>
        <v>34.375000000000007</v>
      </c>
      <c r="F32" s="33">
        <f t="shared" si="5"/>
        <v>43.763676148796499</v>
      </c>
      <c r="G32" s="65">
        <f t="shared" si="5"/>
        <v>36.909871244635198</v>
      </c>
      <c r="H32" s="91"/>
    </row>
  </sheetData>
  <mergeCells count="11">
    <mergeCell ref="H26:H28"/>
    <mergeCell ref="H30:H32"/>
    <mergeCell ref="B21:G21"/>
    <mergeCell ref="H15:H17"/>
    <mergeCell ref="H11:H13"/>
    <mergeCell ref="H7:H9"/>
    <mergeCell ref="H3:H5"/>
    <mergeCell ref="H22:H24"/>
    <mergeCell ref="B1:G1"/>
    <mergeCell ref="B2:D2"/>
    <mergeCell ref="E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2AA42-4488-4CA1-9FFF-180583624B7A}">
  <dimension ref="A1:G26"/>
  <sheetViews>
    <sheetView zoomScale="90" zoomScaleNormal="90" workbookViewId="0">
      <selection activeCell="E16" sqref="E16"/>
    </sheetView>
  </sheetViews>
  <sheetFormatPr defaultRowHeight="14.5" x14ac:dyDescent="0.35"/>
  <cols>
    <col min="1" max="1" width="10.6328125" bestFit="1" customWidth="1"/>
    <col min="2" max="2" width="16.7265625" bestFit="1" customWidth="1"/>
    <col min="3" max="3" width="20" bestFit="1" customWidth="1"/>
    <col min="4" max="4" width="16.7265625" bestFit="1" customWidth="1"/>
    <col min="5" max="5" width="20" bestFit="1" customWidth="1"/>
    <col min="6" max="6" width="16.7265625" bestFit="1" customWidth="1"/>
    <col min="7" max="7" width="20" bestFit="1" customWidth="1"/>
  </cols>
  <sheetData>
    <row r="1" spans="1:7" ht="18.5" x14ac:dyDescent="0.35">
      <c r="B1" s="99" t="s">
        <v>16</v>
      </c>
      <c r="C1" s="101"/>
    </row>
    <row r="2" spans="1:7" x14ac:dyDescent="0.35">
      <c r="B2" s="74" t="s">
        <v>18</v>
      </c>
      <c r="C2" s="75" t="s">
        <v>24</v>
      </c>
    </row>
    <row r="3" spans="1:7" x14ac:dyDescent="0.35">
      <c r="A3" s="2" t="s">
        <v>3</v>
      </c>
      <c r="B3" s="72">
        <v>47.953099999999999</v>
      </c>
      <c r="C3" s="5">
        <v>47.843800000000002</v>
      </c>
      <c r="D3" s="98" t="s">
        <v>11</v>
      </c>
    </row>
    <row r="4" spans="1:7" x14ac:dyDescent="0.35">
      <c r="A4" s="3" t="s">
        <v>4</v>
      </c>
      <c r="B4" s="73">
        <v>61.244300000000003</v>
      </c>
      <c r="C4" s="8">
        <v>60.595399999999998</v>
      </c>
      <c r="D4" s="102"/>
    </row>
    <row r="5" spans="1:7" x14ac:dyDescent="0.35">
      <c r="A5" s="1"/>
      <c r="B5" s="1"/>
      <c r="C5" s="1"/>
      <c r="D5" s="1"/>
      <c r="E5" s="1"/>
      <c r="F5" s="1"/>
      <c r="G5" s="1"/>
    </row>
    <row r="6" spans="1:7" x14ac:dyDescent="0.35">
      <c r="A6" s="2" t="s">
        <v>3</v>
      </c>
      <c r="B6" s="41">
        <v>47.977600000000002</v>
      </c>
      <c r="C6" s="11">
        <v>47.9283</v>
      </c>
      <c r="D6" s="89" t="s">
        <v>12</v>
      </c>
      <c r="E6" s="1"/>
      <c r="F6" s="1"/>
      <c r="G6" s="1"/>
    </row>
    <row r="7" spans="1:7" x14ac:dyDescent="0.35">
      <c r="A7" s="3" t="s">
        <v>4</v>
      </c>
      <c r="B7" s="42">
        <v>65.390799999999999</v>
      </c>
      <c r="C7" s="9">
        <v>63.0929</v>
      </c>
      <c r="D7" s="91"/>
      <c r="E7" s="1"/>
      <c r="F7" s="1"/>
      <c r="G7" s="1"/>
    </row>
    <row r="8" spans="1:7" x14ac:dyDescent="0.35">
      <c r="A8" s="1"/>
      <c r="B8" s="1"/>
      <c r="C8" s="1"/>
      <c r="D8" s="1"/>
      <c r="E8" s="1"/>
      <c r="F8" s="1"/>
      <c r="G8" s="1"/>
    </row>
    <row r="9" spans="1:7" x14ac:dyDescent="0.35">
      <c r="A9" s="2" t="s">
        <v>3</v>
      </c>
      <c r="B9" s="76">
        <v>47.795400000000001</v>
      </c>
      <c r="C9" s="18">
        <v>47.725999999999999</v>
      </c>
      <c r="D9" s="89" t="s">
        <v>13</v>
      </c>
      <c r="E9" s="1"/>
      <c r="F9" s="1"/>
      <c r="G9" s="1"/>
    </row>
    <row r="10" spans="1:7" x14ac:dyDescent="0.35">
      <c r="A10" s="3" t="s">
        <v>4</v>
      </c>
      <c r="B10" s="77">
        <v>68.306399999999996</v>
      </c>
      <c r="C10" s="16">
        <v>66.178200000000004</v>
      </c>
      <c r="D10" s="91"/>
      <c r="E10" s="1"/>
      <c r="F10" s="1"/>
      <c r="G10" s="1"/>
    </row>
    <row r="11" spans="1:7" x14ac:dyDescent="0.35">
      <c r="A11" s="1"/>
      <c r="B11" s="1"/>
      <c r="C11" s="1"/>
      <c r="D11" s="1"/>
      <c r="E11" s="1"/>
      <c r="F11" s="1"/>
      <c r="G11" s="1"/>
    </row>
    <row r="12" spans="1:7" x14ac:dyDescent="0.35">
      <c r="A12" s="2" t="s">
        <v>3</v>
      </c>
      <c r="B12" s="78">
        <v>50.051900000000003</v>
      </c>
      <c r="C12" s="1"/>
      <c r="D12" s="89" t="s">
        <v>0</v>
      </c>
      <c r="E12" s="1"/>
      <c r="F12" s="1"/>
      <c r="G12" s="1"/>
    </row>
    <row r="13" spans="1:7" x14ac:dyDescent="0.35">
      <c r="A13" s="3" t="s">
        <v>4</v>
      </c>
      <c r="B13" s="79">
        <v>88.332800000000006</v>
      </c>
      <c r="C13" s="1"/>
      <c r="D13" s="91"/>
      <c r="E13" s="1"/>
      <c r="F13" s="1"/>
      <c r="G13" s="1"/>
    </row>
    <row r="14" spans="1:7" x14ac:dyDescent="0.35">
      <c r="A14" s="1"/>
      <c r="B14" s="1"/>
      <c r="C14" s="1"/>
      <c r="D14" s="1"/>
      <c r="E14" s="1"/>
      <c r="F14" s="1"/>
      <c r="G14" s="1"/>
    </row>
    <row r="15" spans="1:7" x14ac:dyDescent="0.35">
      <c r="A15" s="1"/>
      <c r="B15" s="1"/>
      <c r="C15" s="1"/>
      <c r="D15" s="1"/>
      <c r="E15" s="1"/>
      <c r="F15" s="1"/>
      <c r="G15" s="1"/>
    </row>
    <row r="16" spans="1:7" x14ac:dyDescent="0.35">
      <c r="A16" s="1"/>
      <c r="B16" s="1"/>
      <c r="C16" s="1"/>
      <c r="D16" s="1"/>
      <c r="E16" s="1"/>
      <c r="F16" s="1"/>
      <c r="G16" s="1"/>
    </row>
    <row r="17" spans="1:7" x14ac:dyDescent="0.35">
      <c r="A17" s="1"/>
      <c r="B17" s="1"/>
      <c r="C17" s="1"/>
      <c r="D17" s="1"/>
      <c r="E17" s="1"/>
      <c r="F17" s="1"/>
      <c r="G17" s="1"/>
    </row>
    <row r="18" spans="1:7" ht="18.5" x14ac:dyDescent="0.35">
      <c r="A18" s="1"/>
      <c r="B18" s="99" t="s">
        <v>19</v>
      </c>
      <c r="C18" s="101"/>
      <c r="D18" s="84"/>
      <c r="E18" s="1"/>
      <c r="F18" s="1"/>
      <c r="G18" s="1"/>
    </row>
    <row r="19" spans="1:7" x14ac:dyDescent="0.35">
      <c r="A19" s="2" t="s">
        <v>3</v>
      </c>
      <c r="B19" s="60">
        <f>((B12-B3)/B12)*100</f>
        <v>4.1932474091892695</v>
      </c>
      <c r="C19" s="80">
        <f>((B12-C3)/B12)*100</f>
        <v>4.4116207376742977</v>
      </c>
      <c r="D19" s="98" t="s">
        <v>11</v>
      </c>
    </row>
    <row r="20" spans="1:7" x14ac:dyDescent="0.35">
      <c r="A20" s="3" t="s">
        <v>4</v>
      </c>
      <c r="B20" s="62">
        <f>((B13-B4)/B13)*100</f>
        <v>30.666411570786845</v>
      </c>
      <c r="C20" s="81">
        <f>((B13-C4)/B13)*100</f>
        <v>31.401019779742072</v>
      </c>
      <c r="D20" s="102"/>
    </row>
    <row r="21" spans="1:7" x14ac:dyDescent="0.35">
      <c r="D21" s="1"/>
    </row>
    <row r="22" spans="1:7" x14ac:dyDescent="0.35">
      <c r="A22" s="2" t="s">
        <v>3</v>
      </c>
      <c r="B22" s="82">
        <f>((B12-B6)/B12)*100</f>
        <v>4.1442982184492516</v>
      </c>
      <c r="C22" s="68">
        <f>((B12-C6)/B12)*100</f>
        <v>4.2427959777750752</v>
      </c>
      <c r="D22" s="89" t="s">
        <v>12</v>
      </c>
    </row>
    <row r="23" spans="1:7" x14ac:dyDescent="0.35">
      <c r="A23" s="3" t="s">
        <v>4</v>
      </c>
      <c r="B23" s="83">
        <f>((B13-B7)/B13)*100</f>
        <v>25.972232285176066</v>
      </c>
      <c r="C23" s="69">
        <f>((B13-C7)/B13)*100</f>
        <v>28.573644218229248</v>
      </c>
      <c r="D23" s="91"/>
    </row>
    <row r="24" spans="1:7" x14ac:dyDescent="0.35">
      <c r="D24" s="1"/>
    </row>
    <row r="25" spans="1:7" x14ac:dyDescent="0.35">
      <c r="A25" s="2" t="s">
        <v>3</v>
      </c>
      <c r="B25" s="36">
        <f>((B12-B9)/B12)*100</f>
        <v>4.5083203634627305</v>
      </c>
      <c r="C25" s="64">
        <f>((B12-C9)/B12)*100</f>
        <v>4.6469764384568899</v>
      </c>
      <c r="D25" s="89" t="s">
        <v>13</v>
      </c>
    </row>
    <row r="26" spans="1:7" x14ac:dyDescent="0.35">
      <c r="A26" s="3" t="s">
        <v>4</v>
      </c>
      <c r="B26" s="37">
        <f>((B13-B10)/B13)*100</f>
        <v>22.671533111143322</v>
      </c>
      <c r="C26" s="65">
        <f>((B13-C10)/B13)*100</f>
        <v>25.080830676713521</v>
      </c>
      <c r="D26" s="91"/>
    </row>
  </sheetData>
  <mergeCells count="9">
    <mergeCell ref="D19:D20"/>
    <mergeCell ref="D22:D23"/>
    <mergeCell ref="D25:D26"/>
    <mergeCell ref="B18:C18"/>
    <mergeCell ref="B1:C1"/>
    <mergeCell ref="D12:D13"/>
    <mergeCell ref="D9:D10"/>
    <mergeCell ref="D6:D7"/>
    <mergeCell ref="D3:D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A2281-D036-4F4D-A8A4-8888887F0E71}">
  <dimension ref="A1:S31"/>
  <sheetViews>
    <sheetView zoomScale="90" zoomScaleNormal="90" zoomScaleSheetLayoutView="110" workbookViewId="0">
      <selection activeCell="N23" sqref="N23"/>
    </sheetView>
  </sheetViews>
  <sheetFormatPr defaultRowHeight="14.5" x14ac:dyDescent="0.35"/>
  <cols>
    <col min="1" max="1" width="11.1796875" customWidth="1"/>
    <col min="2" max="2" width="10.1796875" customWidth="1"/>
    <col min="3" max="3" width="10.6328125" customWidth="1"/>
    <col min="4" max="4" width="10.26953125" customWidth="1"/>
    <col min="5" max="5" width="10.36328125" customWidth="1"/>
    <col min="6" max="6" width="10.26953125" customWidth="1"/>
    <col min="7" max="7" width="10.54296875" customWidth="1"/>
    <col min="8" max="8" width="13.90625" bestFit="1" customWidth="1"/>
    <col min="9" max="9" width="10.08984375" customWidth="1"/>
    <col min="10" max="10" width="10.26953125" customWidth="1"/>
    <col min="11" max="11" width="10.08984375" customWidth="1"/>
    <col min="12" max="12" width="10.26953125" customWidth="1"/>
    <col min="13" max="13" width="10.1796875" customWidth="1"/>
    <col min="14" max="14" width="10.26953125" customWidth="1"/>
    <col min="15" max="15" width="10.08984375" customWidth="1"/>
    <col min="16" max="16" width="9.81640625" customWidth="1"/>
    <col min="17" max="17" width="10.26953125" customWidth="1"/>
    <col min="18" max="18" width="10" customWidth="1"/>
    <col min="19" max="19" width="10.08984375" customWidth="1"/>
  </cols>
  <sheetData>
    <row r="1" spans="1:19" ht="18.5" x14ac:dyDescent="0.45">
      <c r="B1" s="103" t="s">
        <v>20</v>
      </c>
      <c r="C1" s="104"/>
      <c r="D1" s="104"/>
      <c r="E1" s="104"/>
      <c r="F1" s="104"/>
      <c r="G1" s="105"/>
    </row>
    <row r="2" spans="1:19" x14ac:dyDescent="0.35">
      <c r="B2" s="96" t="s">
        <v>26</v>
      </c>
      <c r="C2" s="97"/>
      <c r="D2" s="97"/>
      <c r="E2" s="97" t="s">
        <v>25</v>
      </c>
      <c r="F2" s="97"/>
      <c r="G2" s="98"/>
    </row>
    <row r="3" spans="1:19" x14ac:dyDescent="0.35">
      <c r="B3" s="56" t="s">
        <v>5</v>
      </c>
      <c r="C3" s="57" t="s">
        <v>6</v>
      </c>
      <c r="D3" s="57" t="s">
        <v>7</v>
      </c>
      <c r="E3" s="56" t="s">
        <v>5</v>
      </c>
      <c r="F3" s="57" t="s">
        <v>6</v>
      </c>
      <c r="G3" s="58" t="s">
        <v>7</v>
      </c>
      <c r="H3" s="89" t="s">
        <v>11</v>
      </c>
    </row>
    <row r="4" spans="1:19" x14ac:dyDescent="0.35">
      <c r="A4" s="39" t="s">
        <v>8</v>
      </c>
      <c r="B4" s="38">
        <v>2.2370000000000001</v>
      </c>
      <c r="C4" s="4">
        <v>2.3201999999999998</v>
      </c>
      <c r="D4" s="5">
        <v>2.3573</v>
      </c>
      <c r="E4" s="38">
        <v>2.2345999999999999</v>
      </c>
      <c r="F4" s="4">
        <v>2.3090999999999999</v>
      </c>
      <c r="G4" s="5">
        <v>2.3468</v>
      </c>
      <c r="H4" s="90"/>
    </row>
    <row r="5" spans="1:19" x14ac:dyDescent="0.35">
      <c r="A5" s="43" t="s">
        <v>9</v>
      </c>
      <c r="B5" s="6">
        <v>2.8769</v>
      </c>
      <c r="C5" s="7">
        <v>3.5539000000000001</v>
      </c>
      <c r="D5" s="8">
        <v>4.5697000000000001</v>
      </c>
      <c r="E5" s="6">
        <v>2.8353000000000002</v>
      </c>
      <c r="F5" s="7">
        <v>3.8574999999999999</v>
      </c>
      <c r="G5" s="8">
        <v>4.8425000000000002</v>
      </c>
      <c r="H5" s="91"/>
    </row>
    <row r="6" spans="1:19" x14ac:dyDescent="0.35">
      <c r="B6" s="106"/>
      <c r="C6" s="106"/>
      <c r="D6" s="106"/>
      <c r="E6" s="106"/>
      <c r="F6" s="106"/>
      <c r="G6" s="106"/>
      <c r="H6" s="27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5">
      <c r="B7" s="45" t="s">
        <v>5</v>
      </c>
      <c r="C7" s="46" t="s">
        <v>6</v>
      </c>
      <c r="D7" s="46" t="s">
        <v>7</v>
      </c>
      <c r="E7" s="45" t="s">
        <v>5</v>
      </c>
      <c r="F7" s="46" t="s">
        <v>6</v>
      </c>
      <c r="G7" s="59" t="s">
        <v>7</v>
      </c>
      <c r="H7" s="89" t="s">
        <v>12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5">
      <c r="A8" s="39" t="s">
        <v>8</v>
      </c>
      <c r="B8" s="10">
        <v>2.2372000000000001</v>
      </c>
      <c r="C8" s="11">
        <v>2.3186</v>
      </c>
      <c r="D8" s="12">
        <v>2.3589000000000002</v>
      </c>
      <c r="E8" s="10">
        <v>2.2381000000000002</v>
      </c>
      <c r="F8" s="11">
        <v>2.3136000000000001</v>
      </c>
      <c r="G8" s="12">
        <v>2.3515999999999999</v>
      </c>
      <c r="H8" s="90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35">
      <c r="A9" s="43" t="s">
        <v>9</v>
      </c>
      <c r="B9" s="13">
        <v>3.0716999999999999</v>
      </c>
      <c r="C9" s="9">
        <v>3.2951999999999999</v>
      </c>
      <c r="D9" s="14">
        <v>3.8208000000000002</v>
      </c>
      <c r="E9" s="13">
        <v>3.0253999999999999</v>
      </c>
      <c r="F9" s="9">
        <v>3.2012999999999998</v>
      </c>
      <c r="G9" s="14">
        <v>3.7305000000000001</v>
      </c>
      <c r="H9" s="9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5">
      <c r="B10" s="106"/>
      <c r="C10" s="106"/>
      <c r="D10" s="106"/>
      <c r="E10" s="106"/>
      <c r="F10" s="106"/>
      <c r="G10" s="106"/>
      <c r="H10" s="2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5">
      <c r="B11" s="47" t="s">
        <v>5</v>
      </c>
      <c r="C11" s="48" t="s">
        <v>6</v>
      </c>
      <c r="D11" s="48" t="s">
        <v>7</v>
      </c>
      <c r="E11" s="47" t="s">
        <v>5</v>
      </c>
      <c r="F11" s="48" t="s">
        <v>6</v>
      </c>
      <c r="G11" s="49" t="s">
        <v>7</v>
      </c>
      <c r="H11" s="89" t="s">
        <v>13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5">
      <c r="A12" s="39" t="s">
        <v>8</v>
      </c>
      <c r="B12" s="17">
        <v>2.2313000000000001</v>
      </c>
      <c r="C12" s="18">
        <v>2.3060999999999998</v>
      </c>
      <c r="D12" s="19">
        <v>2.3462000000000001</v>
      </c>
      <c r="E12" s="17">
        <v>2.2317999999999998</v>
      </c>
      <c r="F12" s="18">
        <v>2.3003</v>
      </c>
      <c r="G12" s="19">
        <v>2.3336000000000001</v>
      </c>
      <c r="H12" s="90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5">
      <c r="A13" s="43" t="s">
        <v>9</v>
      </c>
      <c r="B13" s="15">
        <v>3.0560999999999998</v>
      </c>
      <c r="C13" s="16">
        <v>3.3679000000000001</v>
      </c>
      <c r="D13" s="20">
        <v>3.6671</v>
      </c>
      <c r="E13" s="15">
        <v>3.0205000000000002</v>
      </c>
      <c r="F13" s="16">
        <v>3.2336999999999998</v>
      </c>
      <c r="G13" s="20">
        <v>3.4725999999999999</v>
      </c>
      <c r="H13" s="9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5">
      <c r="A15" s="40"/>
      <c r="B15" s="50" t="s">
        <v>5</v>
      </c>
      <c r="C15" s="51" t="s">
        <v>6</v>
      </c>
      <c r="D15" s="52" t="s">
        <v>7</v>
      </c>
      <c r="E15" s="1"/>
      <c r="F15" s="1"/>
      <c r="G15" s="1"/>
      <c r="H15" s="89" t="s">
        <v>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5">
      <c r="A16" s="2" t="s">
        <v>8</v>
      </c>
      <c r="B16" s="24">
        <v>2.4801000000000002</v>
      </c>
      <c r="C16" s="24">
        <v>2.8721000000000001</v>
      </c>
      <c r="D16" s="25">
        <v>3.1371000000000002</v>
      </c>
      <c r="E16" s="1"/>
      <c r="F16" s="1"/>
      <c r="G16" s="1"/>
      <c r="H16" s="9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5">
      <c r="A17" s="3" t="s">
        <v>9</v>
      </c>
      <c r="B17" s="22">
        <v>3.0948000000000002</v>
      </c>
      <c r="C17" s="22">
        <v>5.5907</v>
      </c>
      <c r="D17" s="26">
        <v>7.0888</v>
      </c>
      <c r="E17" s="1"/>
      <c r="F17" s="1"/>
      <c r="G17" s="1"/>
      <c r="H17" s="9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8.5" x14ac:dyDescent="0.35">
      <c r="A20" s="1"/>
      <c r="B20" s="99" t="s">
        <v>17</v>
      </c>
      <c r="C20" s="100"/>
      <c r="D20" s="100"/>
      <c r="E20" s="100"/>
      <c r="F20" s="100"/>
      <c r="G20" s="10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5">
      <c r="A21" s="1"/>
      <c r="B21" s="56" t="s">
        <v>5</v>
      </c>
      <c r="C21" s="57" t="s">
        <v>6</v>
      </c>
      <c r="D21" s="57" t="s">
        <v>7</v>
      </c>
      <c r="E21" s="56" t="s">
        <v>5</v>
      </c>
      <c r="F21" s="57" t="s">
        <v>6</v>
      </c>
      <c r="G21" s="58" t="s">
        <v>7</v>
      </c>
      <c r="H21" s="89" t="s">
        <v>11</v>
      </c>
    </row>
    <row r="22" spans="1:19" ht="14.5" customHeight="1" x14ac:dyDescent="0.35">
      <c r="A22" s="2" t="s">
        <v>3</v>
      </c>
      <c r="B22" s="60">
        <f t="shared" ref="B22:D23" si="0">((B16-B4)/B16)*100</f>
        <v>9.8020241119309741</v>
      </c>
      <c r="C22" s="61">
        <f t="shared" si="0"/>
        <v>19.215904738692952</v>
      </c>
      <c r="D22" s="61">
        <f t="shared" si="0"/>
        <v>24.857352331771388</v>
      </c>
      <c r="E22" s="60">
        <f t="shared" ref="E22:G23" si="1">((B16-E4)/B16)*100</f>
        <v>9.8987944034514843</v>
      </c>
      <c r="F22" s="61">
        <f t="shared" si="1"/>
        <v>19.602381532676443</v>
      </c>
      <c r="G22" s="66">
        <f t="shared" si="1"/>
        <v>25.192056357782672</v>
      </c>
      <c r="H22" s="90"/>
    </row>
    <row r="23" spans="1:19" ht="14.5" customHeight="1" x14ac:dyDescent="0.35">
      <c r="A23" s="3" t="s">
        <v>4</v>
      </c>
      <c r="B23" s="62">
        <f t="shared" si="0"/>
        <v>7.0408427038904025</v>
      </c>
      <c r="C23" s="63">
        <f t="shared" si="0"/>
        <v>36.431931600694007</v>
      </c>
      <c r="D23" s="63">
        <f t="shared" si="0"/>
        <v>35.536339013655343</v>
      </c>
      <c r="E23" s="62">
        <f t="shared" si="1"/>
        <v>8.3850329585110508</v>
      </c>
      <c r="F23" s="63">
        <f t="shared" si="1"/>
        <v>31.00148460836747</v>
      </c>
      <c r="G23" s="67">
        <f t="shared" si="1"/>
        <v>31.688014896738515</v>
      </c>
      <c r="H23" s="91"/>
    </row>
    <row r="24" spans="1:19" x14ac:dyDescent="0.35">
      <c r="H24" s="27"/>
    </row>
    <row r="25" spans="1:19" x14ac:dyDescent="0.35">
      <c r="B25" s="45" t="s">
        <v>5</v>
      </c>
      <c r="C25" s="46" t="s">
        <v>6</v>
      </c>
      <c r="D25" s="59" t="s">
        <v>7</v>
      </c>
      <c r="E25" s="45" t="s">
        <v>5</v>
      </c>
      <c r="F25" s="46" t="s">
        <v>6</v>
      </c>
      <c r="G25" s="59" t="s">
        <v>7</v>
      </c>
      <c r="H25" s="89" t="s">
        <v>12</v>
      </c>
    </row>
    <row r="26" spans="1:19" x14ac:dyDescent="0.35">
      <c r="A26" s="2" t="s">
        <v>3</v>
      </c>
      <c r="B26" s="28">
        <f t="shared" ref="B26:D27" si="2">((B16-B8)/B16)*100</f>
        <v>9.7939599209709325</v>
      </c>
      <c r="C26" s="29">
        <f t="shared" si="2"/>
        <v>19.271613105393271</v>
      </c>
      <c r="D26" s="68">
        <f t="shared" si="2"/>
        <v>24.80634981352204</v>
      </c>
      <c r="E26" s="28">
        <f t="shared" ref="E26:G27" si="3">((B16-E8)/B16)*100</f>
        <v>9.7576710616507381</v>
      </c>
      <c r="F26" s="29">
        <f t="shared" si="3"/>
        <v>19.445701751331779</v>
      </c>
      <c r="G26" s="68">
        <f t="shared" si="3"/>
        <v>25.039048803034657</v>
      </c>
      <c r="H26" s="90"/>
    </row>
    <row r="27" spans="1:19" x14ac:dyDescent="0.35">
      <c r="A27" s="3" t="s">
        <v>4</v>
      </c>
      <c r="B27" s="30">
        <f t="shared" si="2"/>
        <v>0.74641333850330682</v>
      </c>
      <c r="C27" s="31">
        <f t="shared" si="2"/>
        <v>41.05925912676409</v>
      </c>
      <c r="D27" s="69">
        <f t="shared" si="2"/>
        <v>46.100891547229431</v>
      </c>
      <c r="E27" s="30">
        <f t="shared" si="3"/>
        <v>2.2424712420835062</v>
      </c>
      <c r="F27" s="31">
        <f t="shared" si="3"/>
        <v>42.738834135260348</v>
      </c>
      <c r="G27" s="69">
        <f t="shared" si="3"/>
        <v>47.37473197156077</v>
      </c>
      <c r="H27" s="91"/>
    </row>
    <row r="28" spans="1:19" x14ac:dyDescent="0.35">
      <c r="H28" s="27"/>
    </row>
    <row r="29" spans="1:19" x14ac:dyDescent="0.35">
      <c r="B29" s="47" t="s">
        <v>5</v>
      </c>
      <c r="C29" s="48" t="s">
        <v>6</v>
      </c>
      <c r="D29" s="49" t="s">
        <v>7</v>
      </c>
      <c r="E29" s="47" t="s">
        <v>5</v>
      </c>
      <c r="F29" s="48" t="s">
        <v>6</v>
      </c>
      <c r="G29" s="49" t="s">
        <v>7</v>
      </c>
      <c r="H29" s="89" t="s">
        <v>13</v>
      </c>
    </row>
    <row r="30" spans="1:19" x14ac:dyDescent="0.35">
      <c r="A30" s="2" t="s">
        <v>3</v>
      </c>
      <c r="B30" s="70">
        <f t="shared" ref="B30:D31" si="4">((B16-B12)/B16)*100</f>
        <v>10.031853554292171</v>
      </c>
      <c r="C30" s="32">
        <f t="shared" si="4"/>
        <v>19.706834720239556</v>
      </c>
      <c r="D30" s="64">
        <f t="shared" si="4"/>
        <v>25.211182302126172</v>
      </c>
      <c r="E30" s="70">
        <f t="shared" ref="E30:G31" si="5">((B16-E12)/B16)*100</f>
        <v>10.011693076892076</v>
      </c>
      <c r="F30" s="32">
        <f t="shared" si="5"/>
        <v>19.908777549528224</v>
      </c>
      <c r="G30" s="64">
        <f t="shared" si="5"/>
        <v>25.61282713333971</v>
      </c>
      <c r="H30" s="90"/>
    </row>
    <row r="31" spans="1:19" x14ac:dyDescent="0.35">
      <c r="A31" s="3" t="s">
        <v>4</v>
      </c>
      <c r="B31" s="71">
        <f t="shared" si="4"/>
        <v>1.2504846839860539</v>
      </c>
      <c r="C31" s="33">
        <f t="shared" si="4"/>
        <v>39.758885291645051</v>
      </c>
      <c r="D31" s="65">
        <f t="shared" si="4"/>
        <v>48.269100552984987</v>
      </c>
      <c r="E31" s="71">
        <f t="shared" si="5"/>
        <v>2.4008013441902554</v>
      </c>
      <c r="F31" s="33">
        <f t="shared" si="5"/>
        <v>42.159300266514038</v>
      </c>
      <c r="G31" s="65">
        <f t="shared" si="5"/>
        <v>51.012865365082952</v>
      </c>
      <c r="H31" s="91"/>
    </row>
  </sheetData>
  <mergeCells count="15">
    <mergeCell ref="B20:G20"/>
    <mergeCell ref="H21:H23"/>
    <mergeCell ref="H25:H27"/>
    <mergeCell ref="H29:H31"/>
    <mergeCell ref="B1:G1"/>
    <mergeCell ref="H11:H13"/>
    <mergeCell ref="H7:H9"/>
    <mergeCell ref="H3:H5"/>
    <mergeCell ref="H15:H17"/>
    <mergeCell ref="B10:D10"/>
    <mergeCell ref="E6:G6"/>
    <mergeCell ref="B6:D6"/>
    <mergeCell ref="E2:G2"/>
    <mergeCell ref="B2:D2"/>
    <mergeCell ref="E10:G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Displacement</vt:lpstr>
      <vt:lpstr>Story Drift</vt:lpstr>
      <vt:lpstr>Base Shear</vt:lpstr>
      <vt:lpstr>Peak |acceleration|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Ali Azimi</dc:creator>
  <cp:lastModifiedBy>Mohammad Ali Azimi</cp:lastModifiedBy>
  <dcterms:created xsi:type="dcterms:W3CDTF">2025-11-19T23:42:00Z</dcterms:created>
  <dcterms:modified xsi:type="dcterms:W3CDTF">2025-11-27T20:09:14Z</dcterms:modified>
</cp:coreProperties>
</file>