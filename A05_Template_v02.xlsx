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Education\University\Semester 1\Earthquake Engineering\7 -\Assignment 5\"/>
    </mc:Choice>
  </mc:AlternateContent>
  <xr:revisionPtr revIDLastSave="0" documentId="13_ncr:1_{C0482A35-5EC2-4682-B009-D22786A9FD2B}" xr6:coauthVersionLast="47" xr6:coauthVersionMax="47" xr10:uidLastSave="{00000000-0000-0000-0000-000000000000}"/>
  <bookViews>
    <workbookView xWindow="-110" yWindow="-110" windowWidth="25820" windowHeight="13900" xr2:uid="{573C7F31-61ED-499B-A3DA-FEBD23798A6E}"/>
  </bookViews>
  <sheets>
    <sheet name="Design Page" sheetId="4" r:id="rId1"/>
    <sheet name="IE" sheetId="2" r:id="rId2"/>
    <sheet name="Mv and J" sheetId="3" r:id="rId3"/>
  </sheets>
  <definedNames>
    <definedName name="_xlnm.Print_Area" localSheetId="0">'Design Page'!$A$1:$K$61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0" i="4" l="1"/>
  <c r="C37" i="4"/>
  <c r="C38" i="4"/>
  <c r="C35" i="4" l="1"/>
  <c r="C36" i="4"/>
  <c r="C34" i="4"/>
  <c r="C39" i="4" l="1"/>
</calcChain>
</file>

<file path=xl/sharedStrings.xml><?xml version="1.0" encoding="utf-8"?>
<sst xmlns="http://schemas.openxmlformats.org/spreadsheetml/2006/main" count="60" uniqueCount="53">
  <si>
    <t>B</t>
  </si>
  <si>
    <t>D</t>
  </si>
  <si>
    <t>Site Class</t>
  </si>
  <si>
    <t>Importance</t>
  </si>
  <si>
    <t>Low</t>
  </si>
  <si>
    <t>Normal</t>
  </si>
  <si>
    <t>High</t>
  </si>
  <si>
    <t>Post-disaster</t>
  </si>
  <si>
    <r>
      <t>I</t>
    </r>
    <r>
      <rPr>
        <vertAlign val="subscript"/>
        <sz val="11"/>
        <color theme="1"/>
        <rFont val="Calibri"/>
        <family val="2"/>
        <scheme val="minor"/>
      </rPr>
      <t>E</t>
    </r>
  </si>
  <si>
    <t>S(0.2)/S(5.0)</t>
  </si>
  <si>
    <r>
      <t>J for T</t>
    </r>
    <r>
      <rPr>
        <b/>
        <vertAlign val="subscript"/>
        <sz val="11"/>
        <color theme="1"/>
        <rFont val="Calibri"/>
        <family val="2"/>
        <scheme val="minor"/>
      </rPr>
      <t>a</t>
    </r>
  </si>
  <si>
    <t>NBCC Seismic Load Calculations</t>
  </si>
  <si>
    <t>User:</t>
  </si>
  <si>
    <t>Date:</t>
  </si>
  <si>
    <t xml:space="preserve">The sheet is valid for shear wall structures with fundamental periods below 4.0 seconds and five storeys or less. </t>
  </si>
  <si>
    <t>Instructions</t>
  </si>
  <si>
    <r>
      <t xml:space="preserve">Fill in the </t>
    </r>
    <r>
      <rPr>
        <i/>
        <sz val="11"/>
        <color theme="1"/>
        <rFont val="Calibri"/>
        <family val="2"/>
        <scheme val="minor"/>
      </rPr>
      <t xml:space="preserve">input cells, </t>
    </r>
    <r>
      <rPr>
        <sz val="11"/>
        <color theme="1"/>
        <rFont val="Calibri"/>
        <family val="2"/>
        <scheme val="minor"/>
      </rPr>
      <t>the sheet will automatically calculate the base shear and overturning moment.</t>
    </r>
  </si>
  <si>
    <t>If a required condition is not satisfied, the sheet will return an error.</t>
  </si>
  <si>
    <t>Developed by ____________________________</t>
  </si>
  <si>
    <t>_____________</t>
  </si>
  <si>
    <t>Structure Properties</t>
  </si>
  <si>
    <t>Storey</t>
  </si>
  <si>
    <t xml:space="preserve">The structure must be regular and a rectangular prism. </t>
  </si>
  <si>
    <t>Loads</t>
  </si>
  <si>
    <t>kPa</t>
  </si>
  <si>
    <t>S</t>
  </si>
  <si>
    <t>Dead Load</t>
  </si>
  <si>
    <t>Snow Load</t>
  </si>
  <si>
    <t>Storage Load</t>
  </si>
  <si>
    <t>Dimensions</t>
  </si>
  <si>
    <t>m</t>
  </si>
  <si>
    <t>W</t>
  </si>
  <si>
    <t>Width</t>
  </si>
  <si>
    <t>Depth</t>
  </si>
  <si>
    <t>N</t>
  </si>
  <si>
    <t>Number of Stories</t>
  </si>
  <si>
    <r>
      <t>S</t>
    </r>
    <r>
      <rPr>
        <i/>
        <vertAlign val="subscript"/>
        <sz val="11"/>
        <color theme="1"/>
        <rFont val="Calibri"/>
        <family val="2"/>
        <scheme val="minor"/>
      </rPr>
      <t>t</t>
    </r>
  </si>
  <si>
    <t>Storey Height and Weight</t>
  </si>
  <si>
    <r>
      <t>D</t>
    </r>
    <r>
      <rPr>
        <i/>
        <vertAlign val="subscript"/>
        <sz val="11"/>
        <color theme="1"/>
        <rFont val="Calibri"/>
        <family val="2"/>
        <scheme val="minor"/>
      </rPr>
      <t>R</t>
    </r>
  </si>
  <si>
    <t>Roof dead load</t>
  </si>
  <si>
    <r>
      <t>h</t>
    </r>
    <r>
      <rPr>
        <i/>
        <vertAlign val="subscript"/>
        <sz val="11"/>
        <color theme="1"/>
        <rFont val="Calibri"/>
        <family val="2"/>
        <scheme val="minor"/>
      </rPr>
      <t>i</t>
    </r>
    <r>
      <rPr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(m)</t>
    </r>
  </si>
  <si>
    <r>
      <t xml:space="preserve"> </t>
    </r>
    <r>
      <rPr>
        <i/>
        <sz val="11"/>
        <color theme="1"/>
        <rFont val="Calibri"/>
        <family val="2"/>
        <scheme val="minor"/>
      </rPr>
      <t>W</t>
    </r>
    <r>
      <rPr>
        <i/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(kN)</t>
    </r>
  </si>
  <si>
    <t>Total weight</t>
  </si>
  <si>
    <t xml:space="preserve">Response Spectrum </t>
  </si>
  <si>
    <r>
      <t>S</t>
    </r>
    <r>
      <rPr>
        <vertAlign val="subscript"/>
        <sz val="11"/>
        <color theme="1"/>
        <rFont val="Calibri"/>
        <family val="2"/>
        <scheme val="minor"/>
      </rPr>
      <t>a</t>
    </r>
  </si>
  <si>
    <t xml:space="preserve">S </t>
  </si>
  <si>
    <t>Spectral acceleration</t>
  </si>
  <si>
    <t>Design Spectral acceleration</t>
  </si>
  <si>
    <t>PGA</t>
  </si>
  <si>
    <t xml:space="preserve"> -</t>
  </si>
  <si>
    <t>This sheet calculates loads based on the 2020 NBCC Section 4.1.8.</t>
  </si>
  <si>
    <t xml:space="preserve">Note: Storey height is with respect to the foundation. </t>
  </si>
  <si>
    <r>
      <t>M</t>
    </r>
    <r>
      <rPr>
        <b/>
        <vertAlign val="subscript"/>
        <sz val="11"/>
        <color theme="1"/>
        <rFont val="Calibri"/>
        <family val="2"/>
        <scheme val="minor"/>
      </rPr>
      <t>v</t>
    </r>
    <r>
      <rPr>
        <b/>
        <sz val="11"/>
        <color theme="1"/>
        <rFont val="Calibri"/>
        <family val="2"/>
        <scheme val="minor"/>
      </rPr>
      <t xml:space="preserve"> for T</t>
    </r>
    <r>
      <rPr>
        <b/>
        <vertAlign val="subscript"/>
        <sz val="11"/>
        <color theme="1"/>
        <rFont val="Calibri"/>
        <family val="2"/>
        <scheme val="minor"/>
      </rPr>
      <t>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</si>
</sst>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B2B2B2"/>
      </right>
      <top style="thin">
        <color rgb="FFB2B2B2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2" fillId="2" borderId="1" xfId="1"/>
    <xf numFmtId="0" fontId="2" fillId="2" borderId="1" xfId="1" applyAlignment="1">
      <alignment horizontal="center"/>
    </xf>
    <xf numFmtId="0" fontId="7" fillId="0" borderId="0" xfId="0" applyFont="1"/>
    <xf numFmtId="0" fontId="8" fillId="0" borderId="0" xfId="0" applyFont="1"/>
    <xf numFmtId="0" fontId="2" fillId="3" borderId="2" xfId="2" applyFont="1"/>
    <xf numFmtId="0" fontId="0" fillId="0" borderId="3" xfId="0" applyBorder="1" applyAlignment="1">
      <alignment horizontal="center"/>
    </xf>
    <xf numFmtId="0" fontId="2" fillId="2" borderId="4" xfId="1" applyBorder="1" applyAlignment="1">
      <alignment horizontal="center"/>
    </xf>
    <xf numFmtId="0" fontId="0" fillId="0" borderId="3" xfId="0" applyBorder="1"/>
    <xf numFmtId="0" fontId="2" fillId="2" borderId="5" xfId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3" borderId="2" xfId="2" applyFont="1" applyAlignment="1">
      <alignment horizontal="center"/>
    </xf>
    <xf numFmtId="0" fontId="0" fillId="3" borderId="7" xfId="2" applyFont="1" applyBorder="1" applyAlignment="1">
      <alignment horizontal="center"/>
    </xf>
    <xf numFmtId="0" fontId="0" fillId="3" borderId="6" xfId="2" applyFont="1" applyBorder="1" applyAlignment="1">
      <alignment horizontal="center"/>
    </xf>
    <xf numFmtId="0" fontId="0" fillId="3" borderId="2" xfId="2" applyFont="1"/>
    <xf numFmtId="0" fontId="2" fillId="2" borderId="1" xfId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3">
    <cellStyle name="Input" xfId="1" builtinId="20"/>
    <cellStyle name="Normal" xfId="0" builtinId="0"/>
    <cellStyle name="Note" xfId="2" builtinId="10"/>
  </cellStyles>
  <dxfs count="0"/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A583C-11DB-4B3D-9CCF-36103CCC0271}">
  <dimension ref="A2:I50"/>
  <sheetViews>
    <sheetView tabSelected="1" view="pageBreakPreview" zoomScale="70" zoomScaleNormal="100" zoomScaleSheetLayoutView="70" workbookViewId="0">
      <selection activeCell="Q37" sqref="Q37"/>
    </sheetView>
  </sheetViews>
  <sheetFormatPr defaultRowHeight="14.5" x14ac:dyDescent="0.35"/>
  <sheetData>
    <row r="2" spans="1:7" ht="18.5" x14ac:dyDescent="0.45">
      <c r="A2" s="5" t="s">
        <v>11</v>
      </c>
    </row>
    <row r="4" spans="1:7" x14ac:dyDescent="0.35">
      <c r="A4" t="s">
        <v>50</v>
      </c>
    </row>
    <row r="6" spans="1:7" x14ac:dyDescent="0.35">
      <c r="A6" t="s">
        <v>18</v>
      </c>
      <c r="F6" t="s">
        <v>13</v>
      </c>
      <c r="G6" t="s">
        <v>19</v>
      </c>
    </row>
    <row r="8" spans="1:7" x14ac:dyDescent="0.35">
      <c r="A8" s="4" t="s">
        <v>15</v>
      </c>
    </row>
    <row r="10" spans="1:7" x14ac:dyDescent="0.35">
      <c r="A10" t="s">
        <v>14</v>
      </c>
    </row>
    <row r="11" spans="1:7" x14ac:dyDescent="0.35">
      <c r="A11" t="s">
        <v>22</v>
      </c>
    </row>
    <row r="12" spans="1:7" x14ac:dyDescent="0.35">
      <c r="A12" t="s">
        <v>16</v>
      </c>
    </row>
    <row r="13" spans="1:7" x14ac:dyDescent="0.35">
      <c r="A13" t="s">
        <v>17</v>
      </c>
    </row>
    <row r="15" spans="1:7" x14ac:dyDescent="0.35">
      <c r="A15" t="s">
        <v>12</v>
      </c>
      <c r="B15" s="20"/>
      <c r="C15" s="20"/>
      <c r="D15" s="20"/>
    </row>
    <row r="16" spans="1:7" x14ac:dyDescent="0.35">
      <c r="A16" t="s">
        <v>13</v>
      </c>
      <c r="B16" s="20"/>
      <c r="C16" s="20"/>
      <c r="D16" s="20"/>
    </row>
    <row r="19" spans="1:5" x14ac:dyDescent="0.35">
      <c r="A19" s="4" t="s">
        <v>20</v>
      </c>
    </row>
    <row r="21" spans="1:5" x14ac:dyDescent="0.35">
      <c r="A21" s="9" t="s">
        <v>23</v>
      </c>
    </row>
    <row r="22" spans="1:5" x14ac:dyDescent="0.35">
      <c r="A22" s="8" t="s">
        <v>1</v>
      </c>
      <c r="B22" s="6">
        <v>3.25</v>
      </c>
      <c r="C22" t="s">
        <v>24</v>
      </c>
      <c r="E22" t="s">
        <v>26</v>
      </c>
    </row>
    <row r="23" spans="1:5" ht="16.5" x14ac:dyDescent="0.45">
      <c r="A23" s="8" t="s">
        <v>38</v>
      </c>
      <c r="B23" s="6">
        <v>1.5</v>
      </c>
      <c r="C23" t="s">
        <v>24</v>
      </c>
      <c r="E23" t="s">
        <v>39</v>
      </c>
    </row>
    <row r="24" spans="1:5" ht="16.5" x14ac:dyDescent="0.45">
      <c r="A24" s="8" t="s">
        <v>36</v>
      </c>
      <c r="B24" s="6">
        <v>0.5</v>
      </c>
      <c r="C24" t="s">
        <v>24</v>
      </c>
      <c r="E24" t="s">
        <v>28</v>
      </c>
    </row>
    <row r="25" spans="1:5" x14ac:dyDescent="0.35">
      <c r="A25" s="8" t="s">
        <v>25</v>
      </c>
      <c r="B25" s="6">
        <v>1.8</v>
      </c>
      <c r="C25" t="s">
        <v>24</v>
      </c>
      <c r="E25" t="s">
        <v>27</v>
      </c>
    </row>
    <row r="27" spans="1:5" x14ac:dyDescent="0.35">
      <c r="A27" s="9" t="s">
        <v>29</v>
      </c>
    </row>
    <row r="28" spans="1:5" x14ac:dyDescent="0.35">
      <c r="A28" s="8" t="s">
        <v>0</v>
      </c>
      <c r="B28" s="6">
        <v>30</v>
      </c>
      <c r="C28" t="s">
        <v>30</v>
      </c>
      <c r="E28" t="s">
        <v>32</v>
      </c>
    </row>
    <row r="29" spans="1:5" x14ac:dyDescent="0.35">
      <c r="A29" s="8" t="s">
        <v>1</v>
      </c>
      <c r="B29" s="6">
        <v>20</v>
      </c>
      <c r="C29" t="s">
        <v>30</v>
      </c>
      <c r="E29" t="s">
        <v>33</v>
      </c>
    </row>
    <row r="30" spans="1:5" x14ac:dyDescent="0.35">
      <c r="A30" s="8" t="s">
        <v>34</v>
      </c>
      <c r="B30" s="10">
        <f>COUNT(B34:B38)</f>
        <v>3</v>
      </c>
      <c r="E30" t="s">
        <v>35</v>
      </c>
    </row>
    <row r="32" spans="1:5" x14ac:dyDescent="0.35">
      <c r="A32" s="9" t="s">
        <v>37</v>
      </c>
    </row>
    <row r="33" spans="1:8" ht="16.5" x14ac:dyDescent="0.45">
      <c r="A33" s="11" t="s">
        <v>21</v>
      </c>
      <c r="B33" s="15" t="s">
        <v>40</v>
      </c>
      <c r="C33" s="13" t="s">
        <v>41</v>
      </c>
    </row>
    <row r="34" spans="1:8" x14ac:dyDescent="0.35">
      <c r="A34" s="1">
        <v>1</v>
      </c>
      <c r="B34" s="14">
        <v>4</v>
      </c>
      <c r="C34" s="16">
        <f>IF(ISNUMBER(B35)=TRUE,PRODUCT(B$28:B$29,B$22+0.6*B$24),IF(ISNUMBER(B34)=TRUE,PRODUCT(B$28:B$29,B$23+0.25*B$25),""))</f>
        <v>2130</v>
      </c>
    </row>
    <row r="35" spans="1:8" x14ac:dyDescent="0.35">
      <c r="A35" s="1">
        <v>2</v>
      </c>
      <c r="B35" s="7">
        <v>7</v>
      </c>
      <c r="C35" s="16">
        <f t="shared" ref="C35:C38" si="0">IF(ISNUMBER(B36)=TRUE,PRODUCT(B$28:B$29,B$22+0.6*B$24),IF(ISNUMBER(B35)=TRUE,PRODUCT(B$28:B$29,B$23+0.25*B$25),""))</f>
        <v>2130</v>
      </c>
    </row>
    <row r="36" spans="1:8" x14ac:dyDescent="0.35">
      <c r="A36" s="1">
        <v>3</v>
      </c>
      <c r="B36" s="7">
        <v>10</v>
      </c>
      <c r="C36" s="16">
        <f t="shared" si="0"/>
        <v>1170</v>
      </c>
    </row>
    <row r="37" spans="1:8" x14ac:dyDescent="0.35">
      <c r="A37" s="1">
        <v>4</v>
      </c>
      <c r="B37" s="7"/>
      <c r="C37" s="16" t="str">
        <f t="shared" si="0"/>
        <v/>
      </c>
    </row>
    <row r="38" spans="1:8" x14ac:dyDescent="0.35">
      <c r="A38" s="11">
        <v>5</v>
      </c>
      <c r="B38" s="12"/>
      <c r="C38" s="18" t="str">
        <f t="shared" si="0"/>
        <v/>
      </c>
    </row>
    <row r="39" spans="1:8" x14ac:dyDescent="0.35">
      <c r="B39" s="1" t="s">
        <v>31</v>
      </c>
      <c r="C39" s="17">
        <f>SUM(C34:C37)</f>
        <v>5430</v>
      </c>
      <c r="E39" t="s">
        <v>42</v>
      </c>
    </row>
    <row r="41" spans="1:8" x14ac:dyDescent="0.35">
      <c r="A41" t="s">
        <v>51</v>
      </c>
    </row>
    <row r="43" spans="1:8" x14ac:dyDescent="0.35">
      <c r="A43" s="9" t="s">
        <v>43</v>
      </c>
    </row>
    <row r="45" spans="1:8" x14ac:dyDescent="0.35">
      <c r="A45" t="s">
        <v>2</v>
      </c>
      <c r="B45" s="7" t="s">
        <v>1</v>
      </c>
    </row>
    <row r="48" spans="1:8" x14ac:dyDescent="0.35">
      <c r="B48" s="1">
        <v>0</v>
      </c>
      <c r="C48" s="1">
        <v>0.2</v>
      </c>
      <c r="D48" s="1">
        <v>0.5</v>
      </c>
      <c r="E48" s="1">
        <v>1</v>
      </c>
      <c r="F48" s="1">
        <v>2</v>
      </c>
      <c r="G48" s="1">
        <v>5</v>
      </c>
      <c r="H48" s="1" t="s">
        <v>48</v>
      </c>
    </row>
    <row r="49" spans="1:9" ht="16.5" x14ac:dyDescent="0.45">
      <c r="A49" s="1" t="s">
        <v>44</v>
      </c>
      <c r="B49" s="1" t="s">
        <v>49</v>
      </c>
      <c r="C49" s="7">
        <v>0.59499999999999997</v>
      </c>
      <c r="D49" s="7">
        <v>0.311</v>
      </c>
      <c r="E49" s="7">
        <v>0.14799999999999999</v>
      </c>
      <c r="F49" s="7">
        <v>6.8000000000000005E-2</v>
      </c>
      <c r="G49" s="7">
        <v>1.7999999999999999E-2</v>
      </c>
      <c r="H49" s="7">
        <v>0.379</v>
      </c>
      <c r="I49" t="s">
        <v>46</v>
      </c>
    </row>
    <row r="50" spans="1:9" x14ac:dyDescent="0.35">
      <c r="A50" s="1" t="s">
        <v>45</v>
      </c>
      <c r="B50" s="19"/>
      <c r="C50" s="19"/>
      <c r="D50" s="19"/>
      <c r="E50" s="19"/>
      <c r="F50" s="19"/>
      <c r="G50" s="19"/>
      <c r="H50" s="19"/>
      <c r="I50" t="s">
        <v>47</v>
      </c>
    </row>
  </sheetData>
  <mergeCells count="2">
    <mergeCell ref="B15:D15"/>
    <mergeCell ref="B16:D16"/>
  </mergeCells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2902E-7D0D-495E-A072-BB96790B7DE2}">
  <dimension ref="B2:C6"/>
  <sheetViews>
    <sheetView workbookViewId="0">
      <selection activeCell="C8" sqref="C8"/>
    </sheetView>
  </sheetViews>
  <sheetFormatPr defaultRowHeight="14.5" x14ac:dyDescent="0.35"/>
  <cols>
    <col min="2" max="2" width="13.7265625" customWidth="1"/>
  </cols>
  <sheetData>
    <row r="2" spans="2:3" ht="16.5" x14ac:dyDescent="0.45">
      <c r="B2" s="1" t="s">
        <v>3</v>
      </c>
      <c r="C2" s="1" t="s">
        <v>8</v>
      </c>
    </row>
    <row r="3" spans="2:3" x14ac:dyDescent="0.35">
      <c r="B3" s="1" t="s">
        <v>4</v>
      </c>
      <c r="C3" s="1">
        <v>0.8</v>
      </c>
    </row>
    <row r="4" spans="2:3" x14ac:dyDescent="0.35">
      <c r="B4" s="1" t="s">
        <v>5</v>
      </c>
      <c r="C4" s="1">
        <v>1</v>
      </c>
    </row>
    <row r="5" spans="2:3" x14ac:dyDescent="0.35">
      <c r="B5" s="1" t="s">
        <v>6</v>
      </c>
      <c r="C5" s="1">
        <v>1.3</v>
      </c>
    </row>
    <row r="6" spans="2:3" x14ac:dyDescent="0.35">
      <c r="B6" s="1" t="s">
        <v>7</v>
      </c>
      <c r="C6" s="1">
        <v>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C3F4-BD1C-471B-8D15-8EA1C72E0A75}">
  <dimension ref="C3:K8"/>
  <sheetViews>
    <sheetView workbookViewId="0">
      <selection activeCell="F13" sqref="F13"/>
    </sheetView>
  </sheetViews>
  <sheetFormatPr defaultRowHeight="14.5" x14ac:dyDescent="0.35"/>
  <cols>
    <col min="3" max="3" width="12.81640625" customWidth="1"/>
    <col min="4" max="4" width="8.81640625" style="1" customWidth="1"/>
    <col min="5" max="11" width="10.81640625" style="1" customWidth="1"/>
  </cols>
  <sheetData>
    <row r="3" spans="3:11" ht="16.5" x14ac:dyDescent="0.45">
      <c r="C3" s="22" t="s">
        <v>9</v>
      </c>
      <c r="D3" s="21" t="s">
        <v>52</v>
      </c>
      <c r="E3" s="21"/>
      <c r="F3" s="21"/>
      <c r="G3" s="21"/>
      <c r="H3" s="21" t="s">
        <v>10</v>
      </c>
      <c r="I3" s="21"/>
      <c r="J3" s="21"/>
      <c r="K3" s="21"/>
    </row>
    <row r="4" spans="3:11" x14ac:dyDescent="0.35">
      <c r="C4" s="22"/>
      <c r="D4" s="2">
        <v>0.5</v>
      </c>
      <c r="E4" s="3">
        <v>1</v>
      </c>
      <c r="F4" s="3">
        <v>2</v>
      </c>
      <c r="G4" s="3">
        <v>5</v>
      </c>
      <c r="H4" s="2">
        <v>0.5</v>
      </c>
      <c r="I4" s="3">
        <v>1</v>
      </c>
      <c r="J4" s="3">
        <v>2</v>
      </c>
      <c r="K4" s="3">
        <v>5</v>
      </c>
    </row>
    <row r="5" spans="3:11" x14ac:dyDescent="0.35">
      <c r="C5" s="3">
        <v>5</v>
      </c>
      <c r="D5" s="1">
        <v>1</v>
      </c>
      <c r="E5" s="1">
        <v>1</v>
      </c>
      <c r="F5" s="1">
        <v>1</v>
      </c>
      <c r="G5" s="1">
        <v>1.3</v>
      </c>
      <c r="H5" s="1">
        <v>1</v>
      </c>
      <c r="I5" s="1">
        <v>0.97</v>
      </c>
      <c r="J5" s="1">
        <v>0.85</v>
      </c>
      <c r="K5" s="1">
        <v>0.59</v>
      </c>
    </row>
    <row r="6" spans="3:11" x14ac:dyDescent="0.35">
      <c r="C6" s="3">
        <v>20</v>
      </c>
      <c r="D6" s="1">
        <v>1</v>
      </c>
      <c r="E6" s="1">
        <v>1</v>
      </c>
      <c r="F6" s="1">
        <v>1.18</v>
      </c>
      <c r="G6" s="1">
        <v>2.5</v>
      </c>
      <c r="H6" s="1">
        <v>1</v>
      </c>
      <c r="I6" s="1">
        <v>0.8</v>
      </c>
      <c r="J6" s="1">
        <v>0.6</v>
      </c>
      <c r="K6" s="1">
        <v>0.35</v>
      </c>
    </row>
    <row r="7" spans="3:11" x14ac:dyDescent="0.35">
      <c r="C7" s="3">
        <v>40</v>
      </c>
      <c r="D7" s="1">
        <v>1</v>
      </c>
      <c r="E7" s="1">
        <v>1.25</v>
      </c>
      <c r="F7" s="1">
        <v>1.85</v>
      </c>
      <c r="G7" s="1">
        <v>4.0999999999999996</v>
      </c>
      <c r="H7" s="1">
        <v>0.8</v>
      </c>
      <c r="I7" s="1">
        <v>0.59</v>
      </c>
      <c r="J7" s="1">
        <v>0.42</v>
      </c>
      <c r="K7" s="1">
        <v>0.23</v>
      </c>
    </row>
    <row r="8" spans="3:11" x14ac:dyDescent="0.35">
      <c r="C8" s="3">
        <v>65</v>
      </c>
      <c r="D8" s="1">
        <v>1</v>
      </c>
      <c r="E8" s="1">
        <v>1.25</v>
      </c>
      <c r="F8" s="1">
        <v>2.2999999999999998</v>
      </c>
      <c r="G8" s="1">
        <v>6.4</v>
      </c>
      <c r="H8" s="1">
        <v>0.8</v>
      </c>
      <c r="I8" s="1">
        <v>0.56000000000000005</v>
      </c>
      <c r="J8" s="1">
        <v>0.3</v>
      </c>
      <c r="K8" s="1">
        <v>0.18</v>
      </c>
    </row>
  </sheetData>
  <mergeCells count="3">
    <mergeCell ref="D3:G3"/>
    <mergeCell ref="H3:K3"/>
    <mergeCell ref="C3:C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9DDD02F9FABA4C992733B72F0E7833" ma:contentTypeVersion="10" ma:contentTypeDescription="Create a new document." ma:contentTypeScope="" ma:versionID="0c36083bafbab211a515d80298d1a7d7">
  <xsd:schema xmlns:xsd="http://www.w3.org/2001/XMLSchema" xmlns:xs="http://www.w3.org/2001/XMLSchema" xmlns:p="http://schemas.microsoft.com/office/2006/metadata/properties" xmlns:ns3="6421446d-5f3c-42eb-9915-3817a86af818" targetNamespace="http://schemas.microsoft.com/office/2006/metadata/properties" ma:root="true" ma:fieldsID="3e79a761d6cb83ce0011077831f9b82c" ns3:_="">
    <xsd:import namespace="6421446d-5f3c-42eb-9915-3817a86af81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1446d-5f3c-42eb-9915-3817a86af8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CDAF9B-E8F1-4EA3-AA9B-941915FFFD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DE199B-42B9-4886-A970-0543043DBF5E}">
  <ds:schemaRefs>
    <ds:schemaRef ds:uri="6421446d-5f3c-42eb-9915-3817a86af818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14B3BB1-C94C-4668-822D-BDD1E6D77C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1446d-5f3c-42eb-9915-3817a86af8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Design Page</vt:lpstr>
      <vt:lpstr>IE</vt:lpstr>
      <vt:lpstr>Mv and J</vt:lpstr>
      <vt:lpstr>'Design Page'!Print_Area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NVE</dc:creator>
  <cp:lastModifiedBy>Ali Azimi</cp:lastModifiedBy>
  <cp:lastPrinted>2020-10-30T20:12:53Z</cp:lastPrinted>
  <dcterms:created xsi:type="dcterms:W3CDTF">2020-10-30T19:25:27Z</dcterms:created>
  <dcterms:modified xsi:type="dcterms:W3CDTF">2025-11-12T21:18:08Z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0x010100899DDD02F9FABA4C992733B72F0E7833</vt:lpwstr>
  </property>
</Properties>
</file>