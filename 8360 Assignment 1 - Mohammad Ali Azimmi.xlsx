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Education\University\Semester 1\Earthquake Engineering\2 - Lecture Notes_SHA\Assignment 1\"/>
    </mc:Choice>
  </mc:AlternateContent>
  <xr:revisionPtr revIDLastSave="0" documentId="13_ncr:1_{4674F258-7542-45DD-9380-E6278897FBD3}" xr6:coauthVersionLast="47" xr6:coauthVersionMax="47" xr10:uidLastSave="{00000000-0000-0000-0000-000000000000}"/>
  <bookViews>
    <workbookView xWindow="-110" yWindow="-110" windowWidth="25820" windowHeight="13900" xr2:uid="{40EC1B63-858A-4D64-B51F-8BA7E75DB0B9}"/>
  </bookViews>
  <sheets>
    <sheet name="Sheet 1" sheetId="1" r:id="rId1"/>
  </sheets>
  <definedNames>
    <definedName name="_xlnm.Print_Area" localSheetId="0">'Sheet 1'!$A$1:$AL$91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I24" i="1"/>
  <c r="AG24" i="1"/>
  <c r="U61" i="1"/>
  <c r="U60" i="1"/>
  <c r="U59" i="1"/>
  <c r="U58" i="1"/>
  <c r="U51" i="1"/>
  <c r="U50" i="1"/>
  <c r="U49" i="1"/>
  <c r="U48" i="1"/>
  <c r="U15" i="1"/>
  <c r="W15" i="1" s="1"/>
  <c r="U14" i="1"/>
  <c r="W14" i="1" s="1"/>
  <c r="U13" i="1"/>
  <c r="W13" i="1" s="1"/>
  <c r="U12" i="1"/>
  <c r="W12" i="1" s="1"/>
  <c r="U7" i="1"/>
  <c r="X7" i="1" s="1"/>
  <c r="U6" i="1"/>
  <c r="W6" i="1" s="1"/>
  <c r="U5" i="1"/>
  <c r="X5" i="1" s="1"/>
  <c r="U4" i="1"/>
  <c r="X4" i="1" s="1"/>
  <c r="F64" i="1"/>
  <c r="D64" i="1"/>
  <c r="E64" i="1" s="1"/>
  <c r="C64" i="1"/>
  <c r="F63" i="1"/>
  <c r="G63" i="1" s="1"/>
  <c r="V61" i="1" s="1"/>
  <c r="AB61" i="1" s="1"/>
  <c r="C63" i="1"/>
  <c r="F62" i="1"/>
  <c r="D62" i="1"/>
  <c r="E62" i="1" s="1"/>
  <c r="C62" i="1"/>
  <c r="D61" i="1"/>
  <c r="E61" i="1" s="1"/>
  <c r="C61" i="1"/>
  <c r="D60" i="1"/>
  <c r="E60" i="1" s="1"/>
  <c r="C60" i="1"/>
  <c r="D59" i="1"/>
  <c r="E59" i="1" s="1"/>
  <c r="C59" i="1"/>
  <c r="F58" i="1"/>
  <c r="D58" i="1"/>
  <c r="E58" i="1" s="1"/>
  <c r="C58" i="1"/>
  <c r="F57" i="1"/>
  <c r="D57" i="1"/>
  <c r="E57" i="1" s="1"/>
  <c r="C57" i="1"/>
  <c r="D56" i="1"/>
  <c r="E56" i="1" s="1"/>
  <c r="C56" i="1"/>
  <c r="D55" i="1"/>
  <c r="E55" i="1" s="1"/>
  <c r="C55" i="1"/>
  <c r="D54" i="1"/>
  <c r="E54" i="1" s="1"/>
  <c r="C54" i="1"/>
  <c r="F53" i="1"/>
  <c r="D53" i="1"/>
  <c r="E53" i="1" s="1"/>
  <c r="C53" i="1"/>
  <c r="F52" i="1"/>
  <c r="D52" i="1"/>
  <c r="E52" i="1" s="1"/>
  <c r="C52" i="1"/>
  <c r="D51" i="1"/>
  <c r="E51" i="1" s="1"/>
  <c r="C51" i="1"/>
  <c r="D50" i="1"/>
  <c r="E50" i="1" s="1"/>
  <c r="C50" i="1"/>
  <c r="D49" i="1"/>
  <c r="E49" i="1" s="1"/>
  <c r="C49" i="1"/>
  <c r="F48" i="1"/>
  <c r="D48" i="1"/>
  <c r="E48" i="1" s="1"/>
  <c r="C48" i="1"/>
  <c r="C17" i="1"/>
  <c r="D17" i="1"/>
  <c r="E17" i="1" s="1"/>
  <c r="C18" i="1"/>
  <c r="D18" i="1"/>
  <c r="E18" i="1" s="1"/>
  <c r="C19" i="1"/>
  <c r="D19" i="1"/>
  <c r="E19" i="1" s="1"/>
  <c r="F19" i="1"/>
  <c r="F5" i="1"/>
  <c r="D5" i="1"/>
  <c r="E5" i="1" s="1"/>
  <c r="F20" i="1"/>
  <c r="F22" i="1"/>
  <c r="F14" i="1"/>
  <c r="F9" i="1"/>
  <c r="F15" i="1"/>
  <c r="F10" i="1"/>
  <c r="C5" i="1"/>
  <c r="C6" i="1"/>
  <c r="C8" i="1"/>
  <c r="C7" i="1"/>
  <c r="C9" i="1"/>
  <c r="C10" i="1"/>
  <c r="C11" i="1"/>
  <c r="C12" i="1"/>
  <c r="C13" i="1"/>
  <c r="C14" i="1"/>
  <c r="C15" i="1"/>
  <c r="C16" i="1"/>
  <c r="C20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20" i="1"/>
  <c r="E20" i="1" s="1"/>
  <c r="D21" i="1"/>
  <c r="E21" i="1" s="1"/>
  <c r="D22" i="1"/>
  <c r="E22" i="1" s="1"/>
  <c r="C21" i="1"/>
  <c r="C22" i="1"/>
  <c r="W4" i="1" l="1"/>
  <c r="W7" i="1"/>
  <c r="W5" i="1"/>
  <c r="Y4" i="1"/>
  <c r="Z4" i="1" s="1"/>
  <c r="G58" i="1"/>
  <c r="V60" i="1" s="1"/>
  <c r="X60" i="1" s="1"/>
  <c r="M7" i="1"/>
  <c r="M6" i="1"/>
  <c r="Z60" i="1"/>
  <c r="Y7" i="1"/>
  <c r="Z7" i="1" s="1"/>
  <c r="X6" i="1"/>
  <c r="AA6" i="1" s="1"/>
  <c r="AB6" i="1" s="1"/>
  <c r="Z61" i="1"/>
  <c r="AB60" i="1"/>
  <c r="X61" i="1"/>
  <c r="Y12" i="1"/>
  <c r="Z12" i="1" s="1"/>
  <c r="AC12" i="1"/>
  <c r="AD12" i="1" s="1"/>
  <c r="AA12" i="1"/>
  <c r="AB12" i="1" s="1"/>
  <c r="AC13" i="1"/>
  <c r="AD13" i="1" s="1"/>
  <c r="AA13" i="1"/>
  <c r="AB13" i="1" s="1"/>
  <c r="Y13" i="1"/>
  <c r="Z13" i="1" s="1"/>
  <c r="Y14" i="1"/>
  <c r="Z14" i="1" s="1"/>
  <c r="AC14" i="1"/>
  <c r="AD14" i="1" s="1"/>
  <c r="AA14" i="1"/>
  <c r="AB14" i="1" s="1"/>
  <c r="AC15" i="1"/>
  <c r="AD15" i="1" s="1"/>
  <c r="AA15" i="1"/>
  <c r="AB15" i="1" s="1"/>
  <c r="Y15" i="1"/>
  <c r="Z15" i="1" s="1"/>
  <c r="G48" i="1"/>
  <c r="H58" i="1"/>
  <c r="H63" i="1"/>
  <c r="G53" i="1"/>
  <c r="G5" i="1"/>
  <c r="G20" i="1"/>
  <c r="V51" i="1" s="1"/>
  <c r="X51" i="1" s="1"/>
  <c r="G10" i="1"/>
  <c r="V49" i="1" s="1"/>
  <c r="X49" i="1" s="1"/>
  <c r="G15" i="1"/>
  <c r="V50" i="1" s="1"/>
  <c r="AB50" i="1" s="1"/>
  <c r="H20" i="1" l="1"/>
  <c r="L7" i="1" s="1"/>
  <c r="AB49" i="1"/>
  <c r="Z50" i="1"/>
  <c r="K4" i="1"/>
  <c r="V48" i="1"/>
  <c r="X50" i="1"/>
  <c r="H53" i="1"/>
  <c r="V59" i="1"/>
  <c r="M5" i="1"/>
  <c r="Z49" i="1"/>
  <c r="H48" i="1"/>
  <c r="M4" i="1"/>
  <c r="V58" i="1"/>
  <c r="X58" i="1" s="1"/>
  <c r="AC7" i="1"/>
  <c r="AD7" i="1" s="1"/>
  <c r="AC6" i="1"/>
  <c r="AD6" i="1" s="1"/>
  <c r="AA7" i="1"/>
  <c r="AB7" i="1" s="1"/>
  <c r="Y6" i="1"/>
  <c r="Z6" i="1" s="1"/>
  <c r="AA4" i="1"/>
  <c r="AB4" i="1" s="1"/>
  <c r="Z51" i="1"/>
  <c r="AB51" i="1"/>
  <c r="AC4" i="1"/>
  <c r="AD4" i="1" s="1"/>
  <c r="Y5" i="1"/>
  <c r="Z5" i="1" s="1"/>
  <c r="AC5" i="1"/>
  <c r="AD5" i="1" s="1"/>
  <c r="AA5" i="1"/>
  <c r="AB5" i="1" s="1"/>
  <c r="H10" i="1"/>
  <c r="L5" i="1" s="1"/>
  <c r="H15" i="1"/>
  <c r="L6" i="1" s="1"/>
  <c r="N7" i="1"/>
  <c r="H5" i="1"/>
  <c r="L4" i="1" s="1"/>
  <c r="N4" i="1"/>
  <c r="K6" i="1"/>
  <c r="K5" i="1"/>
  <c r="N6" i="1"/>
  <c r="N5" i="1"/>
  <c r="K7" i="1"/>
  <c r="AB58" i="1" l="1"/>
  <c r="Z58" i="1"/>
  <c r="AB59" i="1"/>
  <c r="X59" i="1"/>
  <c r="Z59" i="1"/>
  <c r="Z48" i="1"/>
  <c r="Z52" i="1" s="1"/>
  <c r="AB48" i="1"/>
  <c r="AB52" i="1" s="1"/>
  <c r="X48" i="1"/>
  <c r="X52" i="1" s="1"/>
  <c r="AI4" i="1" l="1"/>
  <c r="V53" i="1"/>
  <c r="AH4" i="1"/>
  <c r="AG4" i="1"/>
  <c r="X62" i="1"/>
  <c r="Z62" i="1"/>
  <c r="V67" i="1" s="1"/>
  <c r="AB62" i="1"/>
  <c r="V68" i="1" s="1"/>
  <c r="V63" i="1" l="1"/>
  <c r="V66" i="1"/>
  <c r="Y69" i="1"/>
  <c r="AI10" i="1"/>
  <c r="AG10" i="1"/>
  <c r="AH10" i="1"/>
  <c r="AI27" i="1" l="1"/>
  <c r="AH27" i="1"/>
  <c r="AG27" i="1"/>
  <c r="AG16" i="1"/>
  <c r="V71" i="1"/>
  <c r="V75" i="1"/>
  <c r="AH16" i="1"/>
  <c r="V72" i="1"/>
  <c r="V76" i="1"/>
  <c r="AI16" i="1"/>
  <c r="V77" i="1"/>
  <c r="V73" i="1"/>
</calcChain>
</file>

<file path=xl/sharedStrings.xml><?xml version="1.0" encoding="utf-8"?>
<sst xmlns="http://schemas.openxmlformats.org/spreadsheetml/2006/main" count="115" uniqueCount="60">
  <si>
    <t>Source A (vm)</t>
  </si>
  <si>
    <t>Source (A) (P(M=m))</t>
  </si>
  <si>
    <t>Source B (vm)</t>
  </si>
  <si>
    <t>Source (B) (P(M=m))</t>
  </si>
  <si>
    <t>M</t>
  </si>
  <si>
    <t>N</t>
  </si>
  <si>
    <t>Log (N/T)</t>
  </si>
  <si>
    <t>λ</t>
  </si>
  <si>
    <t>vm</t>
  </si>
  <si>
    <t>P(M=m)</t>
  </si>
  <si>
    <t>Source B</t>
  </si>
  <si>
    <t>N/T</t>
  </si>
  <si>
    <t>Source A</t>
  </si>
  <si>
    <t>5.0-5.4</t>
  </si>
  <si>
    <t>5.5-5.9</t>
  </si>
  <si>
    <t>6.0-6.4</t>
  </si>
  <si>
    <t>6.5-6.7</t>
  </si>
  <si>
    <t>Range</t>
  </si>
  <si>
    <t>𝜎</t>
  </si>
  <si>
    <t>Z(0.25)</t>
  </si>
  <si>
    <t>P(Y&gt;0.25)</t>
  </si>
  <si>
    <t>Z(0.50)</t>
  </si>
  <si>
    <t>P(Y&gt;0.50)</t>
  </si>
  <si>
    <t>Z(0.75)</t>
  </si>
  <si>
    <t>P(Y&gt;0.75)</t>
  </si>
  <si>
    <r>
      <t xml:space="preserve">N </t>
    </r>
    <r>
      <rPr>
        <b/>
        <sz val="11"/>
        <color theme="1"/>
        <rFont val="Aptos Narrow"/>
        <family val="2"/>
      </rPr>
      <t>≥</t>
    </r>
    <r>
      <rPr>
        <b/>
        <sz val="11"/>
        <color theme="1"/>
        <rFont val="Aptos Narrow"/>
        <family val="2"/>
        <scheme val="minor"/>
      </rPr>
      <t xml:space="preserve"> M</t>
    </r>
  </si>
  <si>
    <t>Part A</t>
  </si>
  <si>
    <t>Part B</t>
  </si>
  <si>
    <t>Part C</t>
  </si>
  <si>
    <t>M-low</t>
  </si>
  <si>
    <t>M-high</t>
  </si>
  <si>
    <t>M-mid</t>
  </si>
  <si>
    <t>R</t>
  </si>
  <si>
    <t>ln (PGA)</t>
  </si>
  <si>
    <t>Vm</t>
  </si>
  <si>
    <t>γ_bin(0.25)</t>
  </si>
  <si>
    <t>γ_bin(0.50)</t>
  </si>
  <si>
    <t>γ_bin(0.75)</t>
  </si>
  <si>
    <t>Part D</t>
  </si>
  <si>
    <t>Total</t>
  </si>
  <si>
    <t>Total annual exceedance</t>
  </si>
  <si>
    <t>γ_all(0.25)</t>
  </si>
  <si>
    <t>γ_all(0.50)</t>
  </si>
  <si>
    <t>γ_all(0.75)</t>
  </si>
  <si>
    <t>Return Period 0.25</t>
  </si>
  <si>
    <t>Return Period 0.50</t>
  </si>
  <si>
    <t>Return Period 0.75</t>
  </si>
  <si>
    <t>P50 years (0.25)</t>
  </si>
  <si>
    <t>P50 years (0.50)</t>
  </si>
  <si>
    <t>P50 years (0.75)</t>
  </si>
  <si>
    <t>Part e.a</t>
  </si>
  <si>
    <t>Return Period</t>
  </si>
  <si>
    <t>All Source</t>
  </si>
  <si>
    <t>e.b – All Sources</t>
  </si>
  <si>
    <t>P50 (probability in 50yr)</t>
  </si>
  <si>
    <t>γ_target (1/yr)</t>
  </si>
  <si>
    <t>y (g) ← variable</t>
  </si>
  <si>
    <t>γ_all(y) (from Part D)</t>
  </si>
  <si>
    <t>γ_all total</t>
  </si>
  <si>
    <t xml:space="preserve">PGA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</si>
</sst>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"/>
    <numFmt numFmtId="166" formatCode="0.000"/>
    <numFmt numFmtId="167" formatCode="0.000000"/>
    <numFmt numFmtId="168" formatCode="0.00000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0" fillId="0" borderId="0" xfId="0" applyNumberFormat="1" applyBorder="1" applyAlignment="1">
      <alignment vertical="center"/>
    </xf>
    <xf numFmtId="165" fontId="0" fillId="0" borderId="10" xfId="0" applyNumberFormat="1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/>
    </xf>
    <xf numFmtId="0" fontId="0" fillId="0" borderId="0" xfId="0" applyBorder="1"/>
    <xf numFmtId="164" fontId="1" fillId="0" borderId="0" xfId="0" applyNumberFormat="1" applyFont="1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/>
    </xf>
    <xf numFmtId="166" fontId="0" fillId="0" borderId="0" xfId="0" applyNumberFormat="1" applyBorder="1"/>
    <xf numFmtId="166" fontId="0" fillId="0" borderId="0" xfId="0" applyNumberFormat="1"/>
    <xf numFmtId="16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164" fontId="0" fillId="0" borderId="17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165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/>
    <xf numFmtId="164" fontId="1" fillId="0" borderId="0" xfId="0" applyNumberFormat="1" applyFont="1" applyBorder="1" applyAlignment="1">
      <alignment vertical="center" wrapText="1"/>
    </xf>
    <xf numFmtId="165" fontId="2" fillId="0" borderId="0" xfId="0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0" fillId="0" borderId="0" xfId="0" applyNumberFormat="1" applyBorder="1" applyAlignment="1">
      <alignment horizontal="center" vertical="center"/>
    </xf>
    <xf numFmtId="2" fontId="0" fillId="0" borderId="0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165" fontId="0" fillId="0" borderId="0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165" fontId="0" fillId="0" borderId="0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9" xfId="0" applyBorder="1"/>
    <xf numFmtId="0" fontId="0" fillId="0" borderId="16" xfId="0" applyBorder="1" applyAlignment="1">
      <alignment horizontal="center" vertical="center"/>
    </xf>
    <xf numFmtId="0" fontId="0" fillId="0" borderId="11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1'!$E$4</c:f>
              <c:strCache>
                <c:ptCount val="1"/>
                <c:pt idx="0">
                  <c:v>Log (N/T)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083070866141732"/>
                  <c:y val="1.94685039370078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1'!$A$5:$A$22</c:f>
              <c:numCache>
                <c:formatCode>General</c:formatCode>
                <c:ptCount val="18"/>
                <c:pt idx="0" formatCode="0.0">
                  <c:v>5</c:v>
                </c:pt>
                <c:pt idx="1">
                  <c:v>5.0999999999999996</c:v>
                </c:pt>
                <c:pt idx="2" formatCode="0.0">
                  <c:v>5.2</c:v>
                </c:pt>
                <c:pt idx="3">
                  <c:v>5.3</c:v>
                </c:pt>
                <c:pt idx="4" formatCode="0.0">
                  <c:v>5.4</c:v>
                </c:pt>
                <c:pt idx="5">
                  <c:v>5.5</c:v>
                </c:pt>
                <c:pt idx="6" formatCode="0.0">
                  <c:v>5.6</c:v>
                </c:pt>
                <c:pt idx="7">
                  <c:v>5.7</c:v>
                </c:pt>
                <c:pt idx="8" formatCode="0.0">
                  <c:v>5.8</c:v>
                </c:pt>
                <c:pt idx="9">
                  <c:v>5.9</c:v>
                </c:pt>
                <c:pt idx="10" formatCode="0.0">
                  <c:v>6</c:v>
                </c:pt>
                <c:pt idx="11">
                  <c:v>6.1</c:v>
                </c:pt>
                <c:pt idx="12" formatCode="0.0">
                  <c:v>6.2</c:v>
                </c:pt>
                <c:pt idx="13">
                  <c:v>6.3</c:v>
                </c:pt>
                <c:pt idx="14" formatCode="0.0">
                  <c:v>6.4</c:v>
                </c:pt>
                <c:pt idx="15">
                  <c:v>6.4999999999999902</c:v>
                </c:pt>
                <c:pt idx="16" formatCode="0.0">
                  <c:v>6.5999999999999899</c:v>
                </c:pt>
                <c:pt idx="17">
                  <c:v>6.6999999999999904</c:v>
                </c:pt>
              </c:numCache>
            </c:numRef>
          </c:xVal>
          <c:yVal>
            <c:numRef>
              <c:f>'Sheet 1'!$E$5:$E$22</c:f>
              <c:numCache>
                <c:formatCode>0.00000</c:formatCode>
                <c:ptCount val="18"/>
                <c:pt idx="0">
                  <c:v>-0.39183740968518371</c:v>
                </c:pt>
                <c:pt idx="1">
                  <c:v>-0.43424125823827109</c:v>
                </c:pt>
                <c:pt idx="2">
                  <c:v>-0.48123782091449463</c:v>
                </c:pt>
                <c:pt idx="3">
                  <c:v>-0.53394417143049755</c:v>
                </c:pt>
                <c:pt idx="4">
                  <c:v>-0.56290786736581411</c:v>
                </c:pt>
                <c:pt idx="5">
                  <c:v>-0.98391318010654516</c:v>
                </c:pt>
                <c:pt idx="6">
                  <c:v>-0.66357802924717735</c:v>
                </c:pt>
                <c:pt idx="7">
                  <c:v>-0.72427586960078905</c:v>
                </c:pt>
                <c:pt idx="8">
                  <c:v>-0.87917782958653223</c:v>
                </c:pt>
                <c:pt idx="9">
                  <c:v>-0.94612461921714541</c:v>
                </c:pt>
                <c:pt idx="10">
                  <c:v>-0.98391318010654516</c:v>
                </c:pt>
                <c:pt idx="11">
                  <c:v>-1.5481846105451078</c:v>
                </c:pt>
                <c:pt idx="12">
                  <c:v>-1.1222158782728267</c:v>
                </c:pt>
                <c:pt idx="13">
                  <c:v>-1.1802078252505135</c:v>
                </c:pt>
                <c:pt idx="14">
                  <c:v>-1.3263358609287514</c:v>
                </c:pt>
                <c:pt idx="15">
                  <c:v>-1.5481846105451078</c:v>
                </c:pt>
                <c:pt idx="16">
                  <c:v>-1.5481846105451078</c:v>
                </c:pt>
                <c:pt idx="17">
                  <c:v>-2.0253058652647704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E-4E3B-ABBD-4363E29CE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94992"/>
        <c:axId val="301895472"/>
      </c:scatterChart>
      <c:valAx>
        <c:axId val="30189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95472"/>
        <c:crosses val="autoZero"/>
        <c:crossBetween val="midCat"/>
      </c:valAx>
      <c:valAx>
        <c:axId val="3018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9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1'!$E$47</c:f>
              <c:strCache>
                <c:ptCount val="1"/>
                <c:pt idx="0">
                  <c:v>Log (N/T)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1'!$A$48:$A$68</c:f>
              <c:numCache>
                <c:formatCode>General</c:formatCode>
                <c:ptCount val="21"/>
                <c:pt idx="0" formatCode="0.0">
                  <c:v>5</c:v>
                </c:pt>
                <c:pt idx="1">
                  <c:v>5.0999999999999996</c:v>
                </c:pt>
                <c:pt idx="2" formatCode="0.0">
                  <c:v>5.2</c:v>
                </c:pt>
                <c:pt idx="3">
                  <c:v>5.3</c:v>
                </c:pt>
                <c:pt idx="4" formatCode="0.0">
                  <c:v>5.4</c:v>
                </c:pt>
                <c:pt idx="5">
                  <c:v>5.5</c:v>
                </c:pt>
                <c:pt idx="6" formatCode="0.0">
                  <c:v>5.6</c:v>
                </c:pt>
                <c:pt idx="7">
                  <c:v>5.7</c:v>
                </c:pt>
                <c:pt idx="8" formatCode="0.0">
                  <c:v>5.8</c:v>
                </c:pt>
                <c:pt idx="9">
                  <c:v>5.9</c:v>
                </c:pt>
                <c:pt idx="10" formatCode="0.0">
                  <c:v>6</c:v>
                </c:pt>
                <c:pt idx="11">
                  <c:v>6.1</c:v>
                </c:pt>
                <c:pt idx="12" formatCode="0.0">
                  <c:v>6.2</c:v>
                </c:pt>
                <c:pt idx="13">
                  <c:v>6.3</c:v>
                </c:pt>
                <c:pt idx="14" formatCode="0.0">
                  <c:v>6.4</c:v>
                </c:pt>
                <c:pt idx="15">
                  <c:v>6.4999999999999902</c:v>
                </c:pt>
                <c:pt idx="16" formatCode="0.0">
                  <c:v>6.5999999999999899</c:v>
                </c:pt>
                <c:pt idx="17">
                  <c:v>6.6999999999999904</c:v>
                </c:pt>
                <c:pt idx="18" formatCode="0.0">
                  <c:v>6.7999999999999901</c:v>
                </c:pt>
                <c:pt idx="19">
                  <c:v>6.8999999999999897</c:v>
                </c:pt>
                <c:pt idx="20" formatCode="0.0">
                  <c:v>6.9999999999999902</c:v>
                </c:pt>
              </c:numCache>
            </c:numRef>
          </c:xVal>
          <c:yVal>
            <c:numRef>
              <c:f>'Sheet 1'!$E$48:$E$68</c:f>
              <c:numCache>
                <c:formatCode>0.00000</c:formatCode>
                <c:ptCount val="21"/>
                <c:pt idx="0">
                  <c:v>-0.40205657486686974</c:v>
                </c:pt>
                <c:pt idx="1">
                  <c:v>-0.54818461054510781</c:v>
                </c:pt>
                <c:pt idx="2">
                  <c:v>-0.61033251729395233</c:v>
                </c:pt>
                <c:pt idx="3">
                  <c:v>-0.77003336016146418</c:v>
                </c:pt>
                <c:pt idx="4">
                  <c:v>-1.0710633558254454</c:v>
                </c:pt>
                <c:pt idx="5">
                  <c:v>-0.82118588260884551</c:v>
                </c:pt>
                <c:pt idx="6">
                  <c:v>-0.91136251295793347</c:v>
                </c:pt>
                <c:pt idx="7">
                  <c:v>-0.98391318010654516</c:v>
                </c:pt>
                <c:pt idx="8">
                  <c:v>-1.2471546148811266</c:v>
                </c:pt>
                <c:pt idx="9">
                  <c:v>-1.1802078252505135</c:v>
                </c:pt>
                <c:pt idx="10">
                  <c:v>-1.4232458739368079</c:v>
                </c:pt>
                <c:pt idx="11">
                  <c:v>-1.4232458739368079</c:v>
                </c:pt>
                <c:pt idx="12">
                  <c:v>-1.5481846105451078</c:v>
                </c:pt>
                <c:pt idx="13">
                  <c:v>-2.0253058652647704</c:v>
                </c:pt>
                <c:pt idx="14">
                  <c:v>-1.7242758696007892</c:v>
                </c:pt>
                <c:pt idx="16">
                  <c:v>-2.0253058652647704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F-4112-9520-B8EF139E5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574944"/>
        <c:axId val="1360573024"/>
      </c:scatterChart>
      <c:valAx>
        <c:axId val="1360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73024"/>
        <c:crosses val="autoZero"/>
        <c:crossBetween val="midCat"/>
      </c:valAx>
      <c:valAx>
        <c:axId val="136057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7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25</xdr:row>
      <xdr:rowOff>31750</xdr:rowOff>
    </xdr:from>
    <xdr:to>
      <xdr:col>7</xdr:col>
      <xdr:colOff>231775</xdr:colOff>
      <xdr:row>41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891D4-DF89-7BB4-83E7-396DAAFB5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411146</xdr:colOff>
      <xdr:row>69</xdr:row>
      <xdr:rowOff>20269</xdr:rowOff>
    </xdr:from>
    <xdr:to>
      <xdr:col>7</xdr:col>
      <xdr:colOff>287994</xdr:colOff>
      <xdr:row>83</xdr:row>
      <xdr:rowOff>159328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27554D-60E3-924B-D903-F5A754E39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1A3D-E3B4-4A6F-A6E2-96A861563D1A}">
  <dimension ref="A1:BA81"/>
  <sheetViews>
    <sheetView tabSelected="1" view="pageBreakPreview" topLeftCell="Q1" zoomScale="86" zoomScaleNormal="97" zoomScaleSheetLayoutView="99" workbookViewId="0">
      <selection activeCell="AG31" sqref="AG31"/>
    </sheetView>
  </sheetViews>
  <sheetFormatPr defaultRowHeight="14.5" x14ac:dyDescent="0.35"/>
  <cols>
    <col min="1" max="1" width="8.7265625" style="2"/>
    <col min="2" max="2" width="9.1796875" style="2" bestFit="1" customWidth="1"/>
    <col min="3" max="3" width="10.453125" style="2" bestFit="1" customWidth="1"/>
    <col min="4" max="4" width="9.26953125" style="2" bestFit="1" customWidth="1"/>
    <col min="5" max="5" width="10.54296875" style="2" bestFit="1" customWidth="1"/>
    <col min="6" max="6" width="8.7265625" style="2"/>
    <col min="7" max="7" width="10.26953125" style="2" customWidth="1"/>
    <col min="8" max="9" width="9.6328125" style="2" customWidth="1"/>
    <col min="10" max="10" width="9.1796875" style="2" customWidth="1"/>
    <col min="11" max="11" width="11.6328125" style="2" customWidth="1"/>
    <col min="12" max="12" width="13" style="2" customWidth="1"/>
    <col min="13" max="13" width="11.81640625" style="2" customWidth="1"/>
    <col min="14" max="14" width="13.7265625" style="2" customWidth="1"/>
    <col min="15" max="16" width="8.7265625" style="2" customWidth="1"/>
    <col min="17" max="17" width="9.81640625" style="2" customWidth="1"/>
    <col min="18" max="19" width="9.81640625" style="3" customWidth="1"/>
    <col min="20" max="23" width="9.81640625" style="27" customWidth="1"/>
    <col min="24" max="24" width="10" style="3" customWidth="1"/>
    <col min="25" max="26" width="10" style="27" customWidth="1"/>
    <col min="27" max="27" width="11.453125" style="3" customWidth="1"/>
    <col min="28" max="28" width="10.81640625" style="3" customWidth="1"/>
    <col min="29" max="29" width="10.54296875" style="3" customWidth="1"/>
    <col min="30" max="30" width="9.81640625" style="3" customWidth="1"/>
    <col min="31" max="31" width="9.36328125" style="2" customWidth="1"/>
    <col min="32" max="32" width="20" style="2" bestFit="1" customWidth="1"/>
    <col min="33" max="34" width="24.6328125" style="2" bestFit="1" customWidth="1"/>
    <col min="35" max="35" width="25.7265625" style="2" bestFit="1" customWidth="1"/>
    <col min="36" max="36" width="11.08984375" style="2" customWidth="1"/>
    <col min="37" max="37" width="11.453125" style="2" customWidth="1"/>
    <col min="38" max="38" width="10.08984375" style="2" bestFit="1" customWidth="1"/>
    <col min="39" max="39" width="8.7265625" style="2"/>
    <col min="40" max="40" width="10.08984375" style="2" bestFit="1" customWidth="1"/>
    <col min="41" max="41" width="8.7265625" style="2"/>
    <col min="42" max="42" width="9.453125" style="2" customWidth="1"/>
    <col min="43" max="48" width="8.7265625" style="2"/>
    <col min="49" max="49" width="10.08984375" style="2" bestFit="1" customWidth="1"/>
    <col min="50" max="50" width="8.7265625" style="2"/>
    <col min="51" max="51" width="10.08984375" style="2" bestFit="1" customWidth="1"/>
    <col min="52" max="52" width="8.7265625" style="2"/>
    <col min="53" max="53" width="10.08984375" style="2" bestFit="1" customWidth="1"/>
    <col min="54" max="16384" width="8.7265625" style="2"/>
  </cols>
  <sheetData>
    <row r="1" spans="1:53" s="8" customFormat="1" x14ac:dyDescent="0.35">
      <c r="A1" s="8" t="s">
        <v>26</v>
      </c>
      <c r="J1" s="8" t="s">
        <v>27</v>
      </c>
      <c r="S1" s="8" t="s">
        <v>28</v>
      </c>
      <c r="AF1" s="8" t="s">
        <v>50</v>
      </c>
    </row>
    <row r="2" spans="1:53" s="8" customFormat="1" ht="15" customHeight="1" x14ac:dyDescent="0.35">
      <c r="S2" s="123" t="s">
        <v>12</v>
      </c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21"/>
      <c r="AF2" s="123" t="s">
        <v>12</v>
      </c>
      <c r="AG2" s="123"/>
      <c r="AH2" s="123"/>
      <c r="AI2" s="123"/>
      <c r="AJ2" s="21"/>
      <c r="AK2" s="21"/>
      <c r="AL2" s="21"/>
      <c r="AM2" s="21"/>
      <c r="AN2" s="21"/>
      <c r="AO2" s="21"/>
      <c r="AP2" s="21"/>
    </row>
    <row r="3" spans="1:53" ht="26" x14ac:dyDescent="0.35">
      <c r="A3" s="125" t="s">
        <v>12</v>
      </c>
      <c r="B3" s="112"/>
      <c r="C3" s="112"/>
      <c r="D3" s="112"/>
      <c r="E3" s="112"/>
      <c r="F3" s="112"/>
      <c r="G3" s="112"/>
      <c r="H3" s="113"/>
      <c r="J3" s="35" t="s">
        <v>17</v>
      </c>
      <c r="K3" s="36" t="s">
        <v>0</v>
      </c>
      <c r="L3" s="36" t="s">
        <v>1</v>
      </c>
      <c r="M3" s="36" t="s">
        <v>2</v>
      </c>
      <c r="N3" s="37" t="s">
        <v>3</v>
      </c>
      <c r="O3" s="75"/>
      <c r="P3" s="75"/>
      <c r="Q3" s="75"/>
      <c r="R3" s="32"/>
      <c r="S3" s="22" t="s">
        <v>29</v>
      </c>
      <c r="T3" s="23" t="s">
        <v>30</v>
      </c>
      <c r="U3" s="23" t="s">
        <v>31</v>
      </c>
      <c r="V3" s="23" t="s">
        <v>32</v>
      </c>
      <c r="W3" s="23" t="s">
        <v>33</v>
      </c>
      <c r="X3" s="23" t="s">
        <v>18</v>
      </c>
      <c r="Y3" s="23" t="s">
        <v>19</v>
      </c>
      <c r="Z3" s="23" t="s">
        <v>20</v>
      </c>
      <c r="AA3" s="23" t="s">
        <v>21</v>
      </c>
      <c r="AB3" s="23" t="s">
        <v>22</v>
      </c>
      <c r="AC3" s="23" t="s">
        <v>23</v>
      </c>
      <c r="AD3" s="23" t="s">
        <v>24</v>
      </c>
      <c r="AE3" s="20"/>
      <c r="AF3" s="79"/>
      <c r="AG3" s="80" t="s">
        <v>35</v>
      </c>
      <c r="AH3" s="80" t="s">
        <v>36</v>
      </c>
      <c r="AI3" s="81" t="s">
        <v>37</v>
      </c>
      <c r="AJ3" s="20"/>
      <c r="AK3" s="20"/>
      <c r="AL3" s="20"/>
      <c r="AM3" s="20"/>
      <c r="AN3" s="20"/>
      <c r="AO3" s="20"/>
      <c r="AP3" s="20"/>
      <c r="AR3" s="20"/>
      <c r="AS3" s="20"/>
      <c r="AT3" s="20"/>
      <c r="AU3" s="20"/>
      <c r="AV3" s="20"/>
      <c r="AW3" s="20"/>
      <c r="AX3" s="20"/>
      <c r="AY3" s="20"/>
      <c r="AZ3" s="20"/>
      <c r="BA3" s="20"/>
    </row>
    <row r="4" spans="1:53" ht="15" thickBot="1" x14ac:dyDescent="0.4">
      <c r="A4" s="28" t="s">
        <v>4</v>
      </c>
      <c r="B4" s="29" t="s">
        <v>5</v>
      </c>
      <c r="C4" s="29" t="s">
        <v>25</v>
      </c>
      <c r="D4" s="29" t="s">
        <v>11</v>
      </c>
      <c r="E4" s="29" t="s">
        <v>6</v>
      </c>
      <c r="F4" s="30" t="s">
        <v>7</v>
      </c>
      <c r="G4" s="29" t="s">
        <v>8</v>
      </c>
      <c r="H4" s="31" t="s">
        <v>9</v>
      </c>
      <c r="I4" s="20"/>
      <c r="J4" s="33" t="s">
        <v>13</v>
      </c>
      <c r="K4" s="34">
        <f>G5</f>
        <v>2.454972048830151E-3</v>
      </c>
      <c r="L4" s="34">
        <f>H5</f>
        <v>0.52741492694967596</v>
      </c>
      <c r="M4" s="34">
        <f>G48</f>
        <v>2.1398999764748287E-3</v>
      </c>
      <c r="N4" s="34">
        <f>Q5</f>
        <v>0</v>
      </c>
      <c r="O4" s="69"/>
      <c r="P4" s="45"/>
      <c r="Q4" s="45"/>
      <c r="R4" s="20"/>
      <c r="S4" s="40">
        <v>5</v>
      </c>
      <c r="T4" s="8">
        <v>5.4</v>
      </c>
      <c r="U4" s="8">
        <f>AVERAGE(S4:T4)</f>
        <v>5.2</v>
      </c>
      <c r="V4" s="8">
        <v>40</v>
      </c>
      <c r="W4" s="25">
        <f xml:space="preserve"> 19.16 + 1.045*U4 - 4.738*LN(40 + 205.5*EXP(0.0968*U4))</f>
        <v>-3.5499396678104453</v>
      </c>
      <c r="X4" s="41">
        <f>1.55 - 0.125*U4</f>
        <v>0.9</v>
      </c>
      <c r="Y4" s="25">
        <f>(LN(0.25) - W4)/X4</f>
        <v>2.4040503407672826</v>
      </c>
      <c r="Z4" s="25">
        <f>1 - _xlfn.NORM.S.DIST(Y4, TRUE)</f>
        <v>8.1072701324440555E-3</v>
      </c>
      <c r="AA4" s="25">
        <f>(LN(0.5) - W4)/X4</f>
        <v>3.1742138747227777</v>
      </c>
      <c r="AB4" s="25">
        <f>(1 - _xlfn.NORM.S.DIST(AA4, TRUE))</f>
        <v>7.5121469476913116E-4</v>
      </c>
      <c r="AC4" s="25">
        <f>(LN(0.75) - W4)/X4</f>
        <v>3.6247306615096271</v>
      </c>
      <c r="AD4" s="25">
        <f>1 - _xlfn.NORM.S.DIST(AC4, TRUE)</f>
        <v>1.4463137619769029E-4</v>
      </c>
      <c r="AE4" s="40"/>
      <c r="AF4" s="82" t="s">
        <v>51</v>
      </c>
      <c r="AG4" s="83">
        <f>1/X52</f>
        <v>5511.8219824207363</v>
      </c>
      <c r="AH4" s="83">
        <f>1/Z52</f>
        <v>39513.239077675164</v>
      </c>
      <c r="AI4" s="84">
        <f>1/AB52</f>
        <v>165871.91327351585</v>
      </c>
      <c r="AJ4" s="41"/>
      <c r="AK4" s="25"/>
      <c r="AL4" s="25"/>
      <c r="AM4" s="25"/>
      <c r="AN4" s="25"/>
      <c r="AO4" s="25"/>
      <c r="AP4" s="25"/>
      <c r="AR4" s="40"/>
      <c r="AS4" s="8"/>
      <c r="AT4" s="48"/>
      <c r="AU4" s="25"/>
      <c r="AV4" s="25"/>
      <c r="AW4" s="25"/>
      <c r="AX4" s="25"/>
      <c r="AY4" s="25"/>
      <c r="AZ4" s="25"/>
      <c r="BA4" s="25"/>
    </row>
    <row r="5" spans="1:53" ht="15" thickBot="1" x14ac:dyDescent="0.4">
      <c r="A5" s="14">
        <v>5</v>
      </c>
      <c r="B5" s="8">
        <v>43</v>
      </c>
      <c r="C5" s="8">
        <f>SUM(B5:B25)</f>
        <v>298</v>
      </c>
      <c r="D5" s="11">
        <f>B5/106</f>
        <v>0.40566037735849059</v>
      </c>
      <c r="E5" s="11">
        <f>LOG10(D5)</f>
        <v>-0.39183740968518371</v>
      </c>
      <c r="F5" s="11">
        <f>(10^(3.7622-0.8138*5))/106</f>
        <v>4.6547261432826224E-3</v>
      </c>
      <c r="G5" s="107">
        <f>F5-F9</f>
        <v>2.454972048830151E-3</v>
      </c>
      <c r="H5" s="110">
        <f>G5/F5</f>
        <v>0.52741492694967596</v>
      </c>
      <c r="I5" s="5"/>
      <c r="J5" s="1" t="s">
        <v>14</v>
      </c>
      <c r="K5" s="7">
        <f>G10</f>
        <v>9.6193682729725819E-4</v>
      </c>
      <c r="L5" s="7">
        <f>H10</f>
        <v>0.20665809280433364</v>
      </c>
      <c r="M5" s="7">
        <f>G53</f>
        <v>6.8468919436126487E-4</v>
      </c>
      <c r="N5" s="7">
        <f>Q10</f>
        <v>0</v>
      </c>
      <c r="O5" s="38"/>
      <c r="P5" s="17"/>
      <c r="Q5" s="17"/>
      <c r="R5" s="12"/>
      <c r="S5" s="40">
        <v>5.5</v>
      </c>
      <c r="T5" s="8">
        <v>5.9</v>
      </c>
      <c r="U5" s="8">
        <f t="shared" ref="U5:U7" si="0">AVERAGE(S5:T5)</f>
        <v>5.7</v>
      </c>
      <c r="V5" s="8">
        <v>40</v>
      </c>
      <c r="W5" s="96">
        <f xml:space="preserve"> 19.16 + 1.045*U5 - 4.738*LN(40 + 205.5*EXP(0.0968*U5))</f>
        <v>-3.2331331040701237</v>
      </c>
      <c r="X5" s="41">
        <f>1.55 - 0.125*U5</f>
        <v>0.83750000000000002</v>
      </c>
      <c r="Y5" s="25">
        <f t="shared" ref="Y5:Y7" si="1">(LN(0.25) - W5)/X5</f>
        <v>2.205180588597293</v>
      </c>
      <c r="Z5" s="25">
        <f t="shared" ref="Z5:Z7" si="2">1 - _xlfn.NORM.S.DIST(Y5, TRUE)</f>
        <v>1.3720712383184841E-2</v>
      </c>
      <c r="AA5" s="25">
        <f t="shared" ref="AA5:AA7" si="3">(LN(0.5) - W5)/X5</f>
        <v>3.0328190131464816</v>
      </c>
      <c r="AB5" s="25">
        <f t="shared" ref="AB5:AB7" si="4">(1 - _xlfn.NORM.S.DIST(AA5, TRUE))</f>
        <v>1.2114043064047619E-3</v>
      </c>
      <c r="AC5" s="25">
        <f t="shared" ref="AC5:AC7" si="5">(LN(0.75) - W5)/X5</f>
        <v>3.516956455663693</v>
      </c>
      <c r="AD5" s="25">
        <f>1 - _xlfn.NORM.S.DIST(AC5, TRUE)</f>
        <v>2.182626938381782E-4</v>
      </c>
      <c r="AE5" s="40"/>
      <c r="AF5" s="8"/>
      <c r="AG5" s="8"/>
      <c r="AH5" s="8"/>
      <c r="AI5" s="25"/>
      <c r="AJ5" s="41"/>
      <c r="AK5" s="25"/>
      <c r="AL5" s="25"/>
      <c r="AM5" s="25"/>
      <c r="AN5" s="25"/>
      <c r="AO5" s="25"/>
      <c r="AP5" s="25"/>
      <c r="AR5" s="40"/>
      <c r="AS5" s="8"/>
      <c r="AT5" s="48"/>
      <c r="AU5" s="25"/>
      <c r="AV5" s="25"/>
      <c r="AW5" s="25"/>
      <c r="AX5" s="25"/>
      <c r="AY5" s="25"/>
      <c r="AZ5" s="25"/>
      <c r="BA5" s="25"/>
    </row>
    <row r="6" spans="1:53" ht="15" thickBot="1" x14ac:dyDescent="0.4">
      <c r="A6" s="13">
        <v>5.0999999999999996</v>
      </c>
      <c r="B6" s="8">
        <v>39</v>
      </c>
      <c r="C6" s="8">
        <f>SUM(B6:B25)</f>
        <v>255</v>
      </c>
      <c r="D6" s="11">
        <f>B6/106</f>
        <v>0.36792452830188677</v>
      </c>
      <c r="E6" s="11">
        <f>LOG10(D6)</f>
        <v>-0.43424125823827109</v>
      </c>
      <c r="F6" s="11"/>
      <c r="G6" s="107"/>
      <c r="H6" s="110"/>
      <c r="I6" s="5"/>
      <c r="J6" s="1" t="s">
        <v>15</v>
      </c>
      <c r="K6" s="7">
        <f>G15</f>
        <v>3.7691771690502774E-4</v>
      </c>
      <c r="L6" s="7">
        <f>H15</f>
        <v>8.0975272293724351E-2</v>
      </c>
      <c r="M6" s="7">
        <f>G58</f>
        <v>2.1907532970179085E-4</v>
      </c>
      <c r="N6" s="7">
        <f>Q15</f>
        <v>0</v>
      </c>
      <c r="O6" s="38"/>
      <c r="P6" s="17"/>
      <c r="Q6" s="17"/>
      <c r="R6" s="12"/>
      <c r="S6" s="40">
        <v>6</v>
      </c>
      <c r="T6" s="8">
        <v>6.4</v>
      </c>
      <c r="U6" s="8">
        <f t="shared" si="0"/>
        <v>6.2</v>
      </c>
      <c r="V6" s="8">
        <v>40</v>
      </c>
      <c r="W6" s="96">
        <f xml:space="preserve"> 19.16 + 1.045*U6 - 4.738*LN(40 + 205.5*EXP(0.0968*U6))</f>
        <v>-2.9173326731908809</v>
      </c>
      <c r="X6" s="41">
        <f>1.55 - 0.125*U6</f>
        <v>0.77500000000000002</v>
      </c>
      <c r="Y6" s="25">
        <f t="shared" si="1"/>
        <v>1.975533305898052</v>
      </c>
      <c r="Z6" s="25">
        <f t="shared" si="2"/>
        <v>2.4103829409352295E-2</v>
      </c>
      <c r="AA6" s="25">
        <f t="shared" si="3"/>
        <v>2.8699167646850778</v>
      </c>
      <c r="AB6" s="25">
        <f t="shared" si="4"/>
        <v>2.0528993129670381E-3</v>
      </c>
      <c r="AC6" s="25">
        <f t="shared" si="5"/>
        <v>3.3930975493407742</v>
      </c>
      <c r="AD6" s="25">
        <f t="shared" ref="AD6:AD7" si="6">1 - _xlfn.NORM.S.DIST(AC6, TRUE)</f>
        <v>3.4553511726886921E-4</v>
      </c>
      <c r="AE6" s="40"/>
      <c r="AF6" s="8"/>
      <c r="AG6" s="8"/>
      <c r="AH6" s="8"/>
      <c r="AI6" s="25"/>
      <c r="AJ6" s="41"/>
      <c r="AK6" s="25"/>
      <c r="AL6" s="25"/>
      <c r="AM6" s="25"/>
      <c r="AN6" s="25"/>
      <c r="AO6" s="25"/>
      <c r="AP6" s="25"/>
      <c r="AR6" s="40"/>
      <c r="AS6" s="8"/>
      <c r="AT6" s="48"/>
      <c r="AU6" s="25"/>
      <c r="AV6" s="25"/>
      <c r="AW6" s="25"/>
      <c r="AX6" s="25"/>
      <c r="AY6" s="25"/>
      <c r="AZ6" s="25"/>
      <c r="BA6" s="25"/>
    </row>
    <row r="7" spans="1:53" ht="15" thickBot="1" x14ac:dyDescent="0.4">
      <c r="A7" s="14">
        <v>5.2</v>
      </c>
      <c r="B7" s="8">
        <v>35</v>
      </c>
      <c r="C7" s="8">
        <f>SUM(B7:B25)</f>
        <v>216</v>
      </c>
      <c r="D7" s="11">
        <f t="shared" ref="D7:D22" si="7">B7/106</f>
        <v>0.330188679245283</v>
      </c>
      <c r="E7" s="11">
        <f t="shared" ref="E7:E22" si="8">LOG10(D7)</f>
        <v>-0.48123782091449463</v>
      </c>
      <c r="F7" s="11"/>
      <c r="G7" s="107"/>
      <c r="H7" s="110"/>
      <c r="I7" s="5"/>
      <c r="J7" s="1" t="s">
        <v>16</v>
      </c>
      <c r="K7" s="7">
        <f>G20</f>
        <v>8.7521770242560831E-5</v>
      </c>
      <c r="L7" s="7">
        <f>H20</f>
        <v>1.8802775404706928E-2</v>
      </c>
      <c r="M7" s="7">
        <f>G63</f>
        <v>2.3883985820932104E-5</v>
      </c>
      <c r="N7" s="7">
        <f>Q20</f>
        <v>0</v>
      </c>
      <c r="O7" s="38"/>
      <c r="P7" s="17"/>
      <c r="Q7" s="17"/>
      <c r="R7" s="12"/>
      <c r="S7" s="40">
        <v>6.5</v>
      </c>
      <c r="T7" s="8">
        <v>6.7</v>
      </c>
      <c r="U7" s="8">
        <f t="shared" si="0"/>
        <v>6.6</v>
      </c>
      <c r="V7" s="8">
        <v>40</v>
      </c>
      <c r="W7" s="96">
        <f xml:space="preserve"> 19.16 + 1.045*U7 - 4.738*LN(40 + 205.5*EXP(0.0968*U7))</f>
        <v>-2.6653909457075855</v>
      </c>
      <c r="X7" s="41">
        <f>1.55 - 0.125*U7</f>
        <v>0.72500000000000009</v>
      </c>
      <c r="Y7" s="25">
        <f t="shared" si="1"/>
        <v>1.764271151155441</v>
      </c>
      <c r="Z7" s="25">
        <f t="shared" si="2"/>
        <v>3.8843169290993185E-2</v>
      </c>
      <c r="AA7" s="25">
        <f t="shared" si="3"/>
        <v>2.720336227789848</v>
      </c>
      <c r="AB7" s="25">
        <f t="shared" si="4"/>
        <v>3.2607783769260656E-3</v>
      </c>
      <c r="AC7" s="25">
        <f t="shared" si="5"/>
        <v>3.2795984458700751</v>
      </c>
      <c r="AD7" s="25">
        <f t="shared" si="6"/>
        <v>5.1977466954922225E-4</v>
      </c>
      <c r="AE7" s="40"/>
      <c r="AF7" s="8"/>
      <c r="AG7" s="8"/>
      <c r="AH7" s="8"/>
      <c r="AI7" s="25"/>
      <c r="AJ7" s="41"/>
      <c r="AK7" s="25"/>
      <c r="AL7" s="25"/>
      <c r="AM7" s="25"/>
      <c r="AN7" s="25"/>
      <c r="AO7" s="25"/>
      <c r="AP7" s="25"/>
      <c r="AR7" s="40"/>
      <c r="AS7" s="8"/>
      <c r="AT7" s="48"/>
      <c r="AU7" s="25"/>
      <c r="AV7" s="25"/>
      <c r="AW7" s="25"/>
      <c r="AX7" s="25"/>
      <c r="AY7" s="25"/>
      <c r="AZ7" s="25"/>
      <c r="BA7" s="25"/>
    </row>
    <row r="8" spans="1:53" x14ac:dyDescent="0.35">
      <c r="A8" s="13">
        <v>5.3</v>
      </c>
      <c r="B8" s="8">
        <v>31</v>
      </c>
      <c r="C8" s="8">
        <f>SUM(B8:B25)</f>
        <v>181</v>
      </c>
      <c r="D8" s="11">
        <f t="shared" si="7"/>
        <v>0.29245283018867924</v>
      </c>
      <c r="E8" s="11">
        <f t="shared" si="8"/>
        <v>-0.53394417143049755</v>
      </c>
      <c r="F8" s="11"/>
      <c r="G8" s="107"/>
      <c r="H8" s="110"/>
      <c r="I8" s="5"/>
      <c r="J8" s="65"/>
      <c r="K8" s="65"/>
      <c r="L8" s="65"/>
      <c r="M8" s="38"/>
      <c r="N8" s="38"/>
      <c r="O8" s="38"/>
      <c r="P8" s="17"/>
      <c r="Q8" s="17"/>
      <c r="R8" s="12"/>
      <c r="S8" s="39"/>
      <c r="T8" s="39"/>
      <c r="U8" s="39"/>
      <c r="V8" s="39"/>
      <c r="W8" s="39"/>
      <c r="X8" s="42"/>
      <c r="Y8" s="39"/>
      <c r="Z8"/>
      <c r="AA8"/>
      <c r="AB8"/>
      <c r="AC8"/>
      <c r="AD8"/>
      <c r="AE8" s="39"/>
      <c r="AF8" s="123" t="s">
        <v>10</v>
      </c>
      <c r="AG8" s="123"/>
      <c r="AH8" s="123"/>
      <c r="AI8" s="123"/>
      <c r="AJ8" s="21"/>
      <c r="AK8" s="21"/>
      <c r="AL8" s="21"/>
      <c r="AM8" s="21"/>
      <c r="AN8" s="21"/>
      <c r="AO8" s="21"/>
      <c r="AP8" s="39"/>
      <c r="AR8" s="39"/>
      <c r="AS8" s="39"/>
      <c r="AT8" s="39"/>
      <c r="AU8" s="39"/>
      <c r="AV8" s="39"/>
      <c r="AW8" s="42"/>
      <c r="AX8" s="39"/>
      <c r="AY8" s="39"/>
      <c r="AZ8" s="39"/>
      <c r="BA8" s="39"/>
    </row>
    <row r="9" spans="1:53" x14ac:dyDescent="0.35">
      <c r="A9" s="14">
        <v>5.4</v>
      </c>
      <c r="B9" s="8">
        <v>29</v>
      </c>
      <c r="C9" s="8">
        <f>SUM(B9:B25)</f>
        <v>150</v>
      </c>
      <c r="D9" s="11">
        <f t="shared" si="7"/>
        <v>0.27358490566037735</v>
      </c>
      <c r="E9" s="11">
        <f t="shared" si="8"/>
        <v>-0.56290786736581411</v>
      </c>
      <c r="F9" s="11">
        <f>(10^(3.7622-0.8138*5.4))/106</f>
        <v>2.1997540944524714E-3</v>
      </c>
      <c r="G9" s="107"/>
      <c r="H9" s="110"/>
      <c r="I9" s="5"/>
      <c r="J9" s="19"/>
      <c r="K9" s="65"/>
      <c r="L9" s="65"/>
      <c r="M9" s="38"/>
      <c r="N9" s="38"/>
      <c r="O9" s="38"/>
      <c r="P9" s="17"/>
      <c r="Q9" s="17"/>
      <c r="R9" s="12"/>
      <c r="S9"/>
      <c r="T9"/>
      <c r="U9"/>
      <c r="V9"/>
      <c r="W9"/>
      <c r="X9" s="43"/>
      <c r="Y9"/>
      <c r="Z9"/>
      <c r="AA9"/>
      <c r="AB9"/>
      <c r="AC9"/>
      <c r="AD9"/>
      <c r="AE9" s="39"/>
      <c r="AF9" s="79"/>
      <c r="AG9" s="80" t="s">
        <v>35</v>
      </c>
      <c r="AH9" s="80" t="s">
        <v>36</v>
      </c>
      <c r="AI9" s="81" t="s">
        <v>37</v>
      </c>
      <c r="AJ9" s="73"/>
      <c r="AK9" s="73"/>
      <c r="AL9" s="73"/>
      <c r="AM9" s="73"/>
      <c r="AN9" s="73"/>
      <c r="AO9" s="73"/>
      <c r="AP9" s="39"/>
      <c r="AR9" s="39"/>
      <c r="AS9" s="39"/>
      <c r="AT9" s="39"/>
      <c r="AU9" s="39"/>
      <c r="AV9" s="39"/>
      <c r="AW9" s="42"/>
      <c r="AX9" s="39"/>
      <c r="AY9" s="39"/>
      <c r="AZ9" s="39"/>
      <c r="BA9" s="39"/>
    </row>
    <row r="10" spans="1:53" x14ac:dyDescent="0.35">
      <c r="A10" s="13">
        <v>5.5</v>
      </c>
      <c r="B10" s="8">
        <v>11</v>
      </c>
      <c r="C10" s="8">
        <f>SUM(B10:B25)</f>
        <v>121</v>
      </c>
      <c r="D10" s="11">
        <f t="shared" si="7"/>
        <v>0.10377358490566038</v>
      </c>
      <c r="E10" s="11">
        <f t="shared" si="8"/>
        <v>-0.98391318010654516</v>
      </c>
      <c r="F10" s="11">
        <f>(10^(3.7622-0.8138*5.5))/106</f>
        <v>1.8238710702798196E-3</v>
      </c>
      <c r="G10" s="107">
        <f>F10-F14</f>
        <v>9.6193682729725819E-4</v>
      </c>
      <c r="H10" s="110">
        <f>G10/F5</f>
        <v>0.20665809280433364</v>
      </c>
      <c r="I10" s="5"/>
      <c r="J10" s="65"/>
      <c r="K10" s="65"/>
      <c r="L10" s="65"/>
      <c r="M10" s="38"/>
      <c r="N10" s="38"/>
      <c r="O10" s="38"/>
      <c r="P10" s="17"/>
      <c r="Q10" s="17"/>
      <c r="R10" s="12"/>
      <c r="S10" s="124" t="s">
        <v>10</v>
      </c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76"/>
      <c r="AF10" s="82" t="s">
        <v>51</v>
      </c>
      <c r="AG10" s="83">
        <f>(1/X62)</f>
        <v>2310623.4294752949</v>
      </c>
      <c r="AH10" s="83">
        <f>1/Z62</f>
        <v>226122962.5301663</v>
      </c>
      <c r="AI10" s="84">
        <f>1/AB62</f>
        <v>5883772034.9986753</v>
      </c>
      <c r="AJ10" s="41"/>
      <c r="AK10" s="71"/>
      <c r="AL10" s="71"/>
      <c r="AM10" s="71"/>
      <c r="AN10" s="71"/>
      <c r="AO10" s="71"/>
      <c r="AP10" s="76"/>
      <c r="AR10" s="39"/>
      <c r="AS10" s="39"/>
      <c r="AT10" s="39"/>
      <c r="AU10" s="39"/>
      <c r="AV10" s="39"/>
      <c r="AW10" s="42"/>
      <c r="AX10" s="39"/>
      <c r="AY10" s="39"/>
      <c r="AZ10" s="39"/>
      <c r="BA10" s="39"/>
    </row>
    <row r="11" spans="1:53" x14ac:dyDescent="0.35">
      <c r="A11" s="14">
        <v>5.6</v>
      </c>
      <c r="B11" s="8">
        <v>23</v>
      </c>
      <c r="C11" s="8">
        <f>SUM(B11:B25)</f>
        <v>110</v>
      </c>
      <c r="D11" s="11">
        <f t="shared" si="7"/>
        <v>0.21698113207547171</v>
      </c>
      <c r="E11" s="11">
        <f t="shared" si="8"/>
        <v>-0.66357802924717735</v>
      </c>
      <c r="F11" s="11"/>
      <c r="G11" s="107"/>
      <c r="H11" s="110"/>
      <c r="I11" s="5"/>
      <c r="J11" s="19"/>
      <c r="K11" s="65"/>
      <c r="L11" s="65"/>
      <c r="M11" s="38"/>
      <c r="N11" s="38"/>
      <c r="O11" s="38"/>
      <c r="P11" s="17"/>
      <c r="Q11" s="17"/>
      <c r="R11" s="12"/>
      <c r="S11" s="22" t="s">
        <v>29</v>
      </c>
      <c r="T11" s="23" t="s">
        <v>30</v>
      </c>
      <c r="U11" s="23" t="s">
        <v>31</v>
      </c>
      <c r="V11" s="23" t="s">
        <v>32</v>
      </c>
      <c r="W11" s="23" t="s">
        <v>33</v>
      </c>
      <c r="X11" s="46" t="s">
        <v>18</v>
      </c>
      <c r="Y11" s="23" t="s">
        <v>19</v>
      </c>
      <c r="Z11" s="23" t="s">
        <v>20</v>
      </c>
      <c r="AA11" s="23" t="s">
        <v>21</v>
      </c>
      <c r="AB11" s="23" t="s">
        <v>22</v>
      </c>
      <c r="AC11" s="23" t="s">
        <v>23</v>
      </c>
      <c r="AD11" s="23" t="s">
        <v>24</v>
      </c>
      <c r="AE11" s="20"/>
      <c r="AF11" s="20"/>
      <c r="AG11" s="20"/>
      <c r="AH11" s="20"/>
      <c r="AI11" s="20"/>
      <c r="AJ11" s="44"/>
      <c r="AK11" s="20"/>
      <c r="AL11" s="20"/>
      <c r="AM11" s="20"/>
      <c r="AN11" s="20"/>
      <c r="AO11" s="20"/>
      <c r="AP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</row>
    <row r="12" spans="1:53" x14ac:dyDescent="0.35">
      <c r="A12" s="13">
        <v>5.7</v>
      </c>
      <c r="B12" s="8">
        <v>20</v>
      </c>
      <c r="C12" s="8">
        <f>SUM(B12:B25)</f>
        <v>87</v>
      </c>
      <c r="D12" s="11">
        <f t="shared" si="7"/>
        <v>0.18867924528301888</v>
      </c>
      <c r="E12" s="11">
        <f t="shared" si="8"/>
        <v>-0.72427586960078905</v>
      </c>
      <c r="F12" s="11"/>
      <c r="G12" s="107"/>
      <c r="H12" s="110"/>
      <c r="I12" s="5"/>
      <c r="J12" s="65"/>
      <c r="K12" s="65"/>
      <c r="L12" s="65"/>
      <c r="M12" s="38"/>
      <c r="N12" s="38"/>
      <c r="O12" s="38"/>
      <c r="P12" s="17"/>
      <c r="Q12" s="17"/>
      <c r="R12" s="12"/>
      <c r="S12" s="40">
        <v>5</v>
      </c>
      <c r="T12" s="8">
        <v>5.4</v>
      </c>
      <c r="U12" s="8">
        <f>AVERAGE(S12:T12)</f>
        <v>5.2</v>
      </c>
      <c r="V12" s="8">
        <v>75</v>
      </c>
      <c r="W12" s="25">
        <f xml:space="preserve"> 19.16 + 1.045*U12 - 4.738*LN(75 + 205.5*EXP(0.0968*U12))</f>
        <v>-3.9674418088632386</v>
      </c>
      <c r="X12" s="41">
        <v>0.56999999999999995</v>
      </c>
      <c r="Y12" s="47">
        <f>(LN(0.25) - W12)/X12</f>
        <v>4.5283288556900843</v>
      </c>
      <c r="Z12" s="47">
        <f>1 - _xlfn.NORM.S.DIST(Y12, TRUE)</f>
        <v>2.9726002794827622E-6</v>
      </c>
      <c r="AA12" s="47">
        <f>(LN(0.5) - W12)/X12</f>
        <v>5.7443765408829712</v>
      </c>
      <c r="AB12" s="47">
        <f>(1 - _xlfn.NORM.S.DIST(AA12, TRUE))</f>
        <v>4.6130139708111528E-9</v>
      </c>
      <c r="AC12" s="47">
        <f>(LN(0.75) - W12)/X12</f>
        <v>6.4557188358095754</v>
      </c>
      <c r="AD12" s="47">
        <f>1 - _xlfn.NORM.S.DIST(AC12, TRUE)</f>
        <v>5.3853255188585081E-11</v>
      </c>
      <c r="AE12" s="40"/>
      <c r="AF12" s="8"/>
      <c r="AG12" s="8"/>
      <c r="AH12" s="8"/>
      <c r="AI12" s="25"/>
      <c r="AJ12" s="41"/>
      <c r="AK12" s="47"/>
      <c r="AL12" s="47"/>
      <c r="AM12" s="47"/>
      <c r="AN12" s="47"/>
      <c r="AO12" s="47"/>
      <c r="AP12" s="47"/>
      <c r="AR12" s="40"/>
      <c r="AS12" s="8"/>
      <c r="AT12" s="48"/>
      <c r="AU12" s="25"/>
      <c r="AV12" s="25"/>
      <c r="AW12" s="25"/>
      <c r="AX12" s="25"/>
      <c r="AY12" s="25"/>
      <c r="AZ12" s="25"/>
      <c r="BA12" s="25"/>
    </row>
    <row r="13" spans="1:53" x14ac:dyDescent="0.35">
      <c r="A13" s="14">
        <v>5.8</v>
      </c>
      <c r="B13" s="8">
        <v>14</v>
      </c>
      <c r="C13" s="8">
        <f>SUM(B13:B25)</f>
        <v>67</v>
      </c>
      <c r="D13" s="11">
        <f t="shared" si="7"/>
        <v>0.13207547169811321</v>
      </c>
      <c r="E13" s="11">
        <f t="shared" si="8"/>
        <v>-0.87917782958653223</v>
      </c>
      <c r="F13" s="11"/>
      <c r="G13" s="107"/>
      <c r="H13" s="110"/>
      <c r="I13" s="5"/>
      <c r="J13" s="19"/>
      <c r="K13" s="65"/>
      <c r="L13" s="65"/>
      <c r="M13" s="38"/>
      <c r="N13" s="38"/>
      <c r="O13" s="38"/>
      <c r="P13" s="17"/>
      <c r="Q13" s="17"/>
      <c r="R13" s="12"/>
      <c r="S13" s="40">
        <v>5.5</v>
      </c>
      <c r="T13" s="8">
        <v>5.9</v>
      </c>
      <c r="U13" s="8">
        <f t="shared" ref="U13:U15" si="9">AVERAGE(S13:T13)</f>
        <v>5.7</v>
      </c>
      <c r="V13" s="8">
        <v>75</v>
      </c>
      <c r="W13" s="96">
        <f xml:space="preserve"> 19.16 + 1.045*U13 - 4.738*LN(75 + 205.5*EXP(0.0968*U13))</f>
        <v>-3.6336263416007846</v>
      </c>
      <c r="X13" s="41">
        <v>0.56999999999999995</v>
      </c>
      <c r="Y13" s="47">
        <f t="shared" ref="Y13:Y15" si="10">(LN(0.25) - W13)/X13</f>
        <v>3.9426876850541999</v>
      </c>
      <c r="Z13" s="47">
        <f t="shared" ref="Z13:Z15" si="11">1 - _xlfn.NORM.S.DIST(Y13, TRUE)</f>
        <v>4.0286775589093438E-5</v>
      </c>
      <c r="AA13" s="47">
        <f t="shared" ref="AA13:AA15" si="12">(LN(0.5) - W13)/X13</f>
        <v>5.1587353702470864</v>
      </c>
      <c r="AB13" s="47">
        <f t="shared" ref="AB13:AB15" si="13">(1 - _xlfn.NORM.S.DIST(AA13, TRUE))</f>
        <v>1.2431170937077241E-7</v>
      </c>
      <c r="AC13" s="47">
        <f t="shared" ref="AC13:AC15" si="14">(LN(0.75) - W13)/X13</f>
        <v>5.8700776651736915</v>
      </c>
      <c r="AD13" s="47">
        <f>1 - _xlfn.NORM.S.DIST(AC13, TRUE)</f>
        <v>2.1779551495626492E-9</v>
      </c>
      <c r="AE13" s="40"/>
      <c r="AF13" s="8"/>
      <c r="AG13" s="8"/>
      <c r="AH13" s="8"/>
      <c r="AI13" s="25"/>
      <c r="AJ13" s="41"/>
      <c r="AK13" s="47"/>
      <c r="AL13" s="27"/>
      <c r="AM13" s="27"/>
      <c r="AN13" s="27"/>
      <c r="AO13" s="47"/>
      <c r="AP13" s="47"/>
      <c r="AR13" s="40"/>
      <c r="AS13" s="8"/>
      <c r="AT13" s="48"/>
      <c r="AU13" s="25"/>
      <c r="AV13" s="25"/>
      <c r="AW13" s="25"/>
      <c r="AX13" s="25"/>
      <c r="AY13" s="25"/>
      <c r="AZ13" s="25"/>
      <c r="BA13" s="25"/>
    </row>
    <row r="14" spans="1:53" x14ac:dyDescent="0.35">
      <c r="A14" s="13">
        <v>5.9</v>
      </c>
      <c r="B14" s="8">
        <v>12</v>
      </c>
      <c r="C14" s="8">
        <f>SUM(B14:B25)</f>
        <v>53</v>
      </c>
      <c r="D14" s="11">
        <f t="shared" si="7"/>
        <v>0.11320754716981132</v>
      </c>
      <c r="E14" s="11">
        <f t="shared" si="8"/>
        <v>-0.94612461921714541</v>
      </c>
      <c r="F14" s="11">
        <f>(10^(3.7622-0.8138*5.9))/106</f>
        <v>8.6193424298256144E-4</v>
      </c>
      <c r="G14" s="107"/>
      <c r="H14" s="110"/>
      <c r="I14" s="5"/>
      <c r="J14" s="65"/>
      <c r="K14" s="65"/>
      <c r="L14" s="65"/>
      <c r="M14" s="38"/>
      <c r="N14" s="38"/>
      <c r="O14" s="38"/>
      <c r="P14" s="17"/>
      <c r="Q14" s="17"/>
      <c r="R14" s="12"/>
      <c r="S14" s="40">
        <v>6</v>
      </c>
      <c r="T14" s="8">
        <v>6.4</v>
      </c>
      <c r="U14" s="8">
        <f t="shared" si="9"/>
        <v>6.2</v>
      </c>
      <c r="V14" s="8">
        <v>75</v>
      </c>
      <c r="W14" s="96">
        <f xml:space="preserve"> 19.16 + 1.045*U14 - 4.738*LN(75 + 205.5*EXP(0.0968*U14))</f>
        <v>-3.3014038520487681</v>
      </c>
      <c r="X14" s="41">
        <v>0.56999999999999995</v>
      </c>
      <c r="Y14" s="47">
        <f t="shared" si="10"/>
        <v>3.3598412121559256</v>
      </c>
      <c r="Z14" s="47">
        <f t="shared" si="11"/>
        <v>3.8993640883433489E-4</v>
      </c>
      <c r="AA14" s="47">
        <f t="shared" si="12"/>
        <v>4.5758888973488121</v>
      </c>
      <c r="AB14" s="47">
        <f t="shared" si="13"/>
        <v>2.3710108572050359E-6</v>
      </c>
      <c r="AC14" s="47">
        <f t="shared" si="14"/>
        <v>5.2872311922754172</v>
      </c>
      <c r="AD14" s="47">
        <f t="shared" ref="AD14:AD15" si="15">1 - _xlfn.NORM.S.DIST(AC14, TRUE)</f>
        <v>6.2090825592164833E-8</v>
      </c>
      <c r="AE14" s="40"/>
      <c r="AF14" s="123" t="s">
        <v>52</v>
      </c>
      <c r="AG14" s="123"/>
      <c r="AH14" s="123"/>
      <c r="AI14" s="123"/>
      <c r="AJ14" s="41"/>
      <c r="AK14" s="47"/>
      <c r="AL14" s="47"/>
      <c r="AM14" s="47"/>
      <c r="AN14" s="47"/>
      <c r="AO14" s="47"/>
      <c r="AP14" s="47"/>
      <c r="AR14" s="40"/>
      <c r="AS14" s="8"/>
      <c r="AT14" s="48"/>
      <c r="AU14" s="25"/>
      <c r="AV14" s="25"/>
      <c r="AW14" s="25"/>
      <c r="AX14" s="25"/>
      <c r="AY14" s="25"/>
      <c r="AZ14" s="25"/>
      <c r="BA14" s="25"/>
    </row>
    <row r="15" spans="1:53" x14ac:dyDescent="0.35">
      <c r="A15" s="14">
        <v>6</v>
      </c>
      <c r="B15" s="8">
        <v>11</v>
      </c>
      <c r="C15" s="8">
        <f>SUM(B15:B25)</f>
        <v>41</v>
      </c>
      <c r="D15" s="11">
        <f t="shared" si="7"/>
        <v>0.10377358490566038</v>
      </c>
      <c r="E15" s="11">
        <f t="shared" si="8"/>
        <v>-0.98391318010654516</v>
      </c>
      <c r="F15" s="11">
        <f>(10^(3.7622-0.8138*6))/106</f>
        <v>7.1465121225321561E-4</v>
      </c>
      <c r="G15" s="107">
        <f>F15-F19</f>
        <v>3.7691771690502774E-4</v>
      </c>
      <c r="H15" s="110">
        <f>G15/F5</f>
        <v>8.0975272293724351E-2</v>
      </c>
      <c r="I15" s="5"/>
      <c r="J15" s="19"/>
      <c r="K15" s="65"/>
      <c r="L15" s="65"/>
      <c r="M15" s="38"/>
      <c r="N15" s="38"/>
      <c r="O15" s="38"/>
      <c r="P15" s="17"/>
      <c r="Q15" s="17"/>
      <c r="R15" s="12"/>
      <c r="S15" s="40">
        <v>6.5</v>
      </c>
      <c r="T15" s="8">
        <v>6.6</v>
      </c>
      <c r="U15" s="8">
        <f t="shared" si="9"/>
        <v>6.55</v>
      </c>
      <c r="V15" s="8">
        <v>75</v>
      </c>
      <c r="W15" s="96">
        <f xml:space="preserve"> 19.16 + 1.045*U15 - 4.738*LN(75 + 205.5*EXP(0.0968*U15))</f>
        <v>-3.0697691133928338</v>
      </c>
      <c r="X15" s="41">
        <v>0.56999999999999995</v>
      </c>
      <c r="Y15" s="47">
        <f t="shared" si="10"/>
        <v>2.9534644776718304</v>
      </c>
      <c r="Z15" s="47">
        <f t="shared" si="11"/>
        <v>1.5711438532159949E-3</v>
      </c>
      <c r="AA15" s="47">
        <f t="shared" si="12"/>
        <v>4.1695121628647165</v>
      </c>
      <c r="AB15" s="47">
        <f t="shared" si="13"/>
        <v>1.5262616305022902E-5</v>
      </c>
      <c r="AC15" s="47">
        <f t="shared" si="14"/>
        <v>4.8808544577913215</v>
      </c>
      <c r="AD15" s="47">
        <f t="shared" si="15"/>
        <v>5.281358852471385E-7</v>
      </c>
      <c r="AE15" s="40"/>
      <c r="AF15" s="79"/>
      <c r="AG15" s="80" t="s">
        <v>35</v>
      </c>
      <c r="AH15" s="80" t="s">
        <v>36</v>
      </c>
      <c r="AI15" s="81" t="s">
        <v>37</v>
      </c>
      <c r="AJ15" s="41"/>
      <c r="AK15" s="47"/>
      <c r="AL15" s="47"/>
      <c r="AM15" s="47"/>
      <c r="AN15" s="47"/>
      <c r="AO15" s="47"/>
      <c r="AP15" s="47"/>
      <c r="AR15" s="40"/>
      <c r="AS15" s="8"/>
      <c r="AT15" s="48"/>
      <c r="AU15" s="25"/>
      <c r="AV15" s="25"/>
      <c r="AW15" s="25"/>
      <c r="AX15" s="25"/>
      <c r="AY15" s="25"/>
      <c r="AZ15" s="25"/>
      <c r="BA15" s="25"/>
    </row>
    <row r="16" spans="1:53" x14ac:dyDescent="0.35">
      <c r="A16" s="13">
        <v>6.1</v>
      </c>
      <c r="B16" s="8">
        <v>3</v>
      </c>
      <c r="C16" s="8">
        <f>SUM(B16:B25)</f>
        <v>30</v>
      </c>
      <c r="D16" s="11">
        <f t="shared" si="7"/>
        <v>2.8301886792452831E-2</v>
      </c>
      <c r="E16" s="11">
        <f t="shared" si="8"/>
        <v>-1.5481846105451078</v>
      </c>
      <c r="F16" s="11"/>
      <c r="G16" s="107"/>
      <c r="H16" s="110"/>
      <c r="I16" s="5"/>
      <c r="J16" s="65"/>
      <c r="K16" s="65"/>
      <c r="L16" s="65"/>
      <c r="M16" s="38"/>
      <c r="N16" s="38"/>
      <c r="O16" s="38"/>
      <c r="P16" s="17"/>
      <c r="Q16" s="17"/>
      <c r="R16" s="12"/>
      <c r="S16" s="12"/>
      <c r="T16" s="25"/>
      <c r="U16" s="25"/>
      <c r="V16" s="25"/>
      <c r="W16" s="25"/>
      <c r="X16" s="12"/>
      <c r="Y16" s="25"/>
      <c r="Z16" s="25"/>
      <c r="AA16" s="12"/>
      <c r="AB16" s="12"/>
      <c r="AC16" s="12"/>
      <c r="AD16" s="12"/>
      <c r="AE16" s="19"/>
      <c r="AF16" s="82" t="s">
        <v>51</v>
      </c>
      <c r="AG16" s="83">
        <f>1/V66</f>
        <v>5498.7052261575709</v>
      </c>
      <c r="AH16" s="83">
        <f>1/V67</f>
        <v>39506.335651025365</v>
      </c>
      <c r="AI16" s="84">
        <f>1/V68</f>
        <v>165867.23723987167</v>
      </c>
      <c r="AJ16" s="25"/>
      <c r="AK16" s="25"/>
      <c r="AL16" s="25"/>
      <c r="AM16" s="25"/>
      <c r="AN16" s="5"/>
    </row>
    <row r="17" spans="1:42" x14ac:dyDescent="0.35">
      <c r="A17" s="14">
        <v>6.2</v>
      </c>
      <c r="B17" s="8">
        <v>8</v>
      </c>
      <c r="C17" s="8">
        <f>SUM(B17:B25)</f>
        <v>27</v>
      </c>
      <c r="D17" s="11">
        <f t="shared" si="7"/>
        <v>7.5471698113207544E-2</v>
      </c>
      <c r="E17" s="11">
        <f t="shared" si="8"/>
        <v>-1.1222158782728267</v>
      </c>
      <c r="F17" s="11"/>
      <c r="G17" s="107"/>
      <c r="H17" s="110"/>
      <c r="I17" s="5"/>
      <c r="J17" s="19"/>
      <c r="K17" s="65"/>
      <c r="L17" s="65"/>
      <c r="M17" s="38"/>
      <c r="N17" s="38"/>
      <c r="O17" s="38"/>
      <c r="P17" s="17"/>
      <c r="Q17" s="17"/>
      <c r="R17" s="12"/>
      <c r="S17" s="12"/>
      <c r="T17" s="25"/>
      <c r="U17" s="25"/>
      <c r="V17" s="25"/>
      <c r="W17" s="25"/>
      <c r="X17" s="12"/>
      <c r="Y17" s="25"/>
      <c r="Z17" s="25"/>
      <c r="AA17" s="12"/>
      <c r="AB17" s="12"/>
      <c r="AC17" s="12"/>
      <c r="AD17" s="12"/>
      <c r="AE17" s="8"/>
      <c r="AF17" s="25"/>
      <c r="AG17" s="25"/>
      <c r="AH17" s="25"/>
      <c r="AI17" s="25"/>
      <c r="AJ17" s="25"/>
      <c r="AK17" s="25"/>
      <c r="AL17" s="25"/>
      <c r="AM17" s="25"/>
      <c r="AN17" s="5"/>
    </row>
    <row r="18" spans="1:42" x14ac:dyDescent="0.35">
      <c r="A18" s="13">
        <v>6.3</v>
      </c>
      <c r="B18" s="8">
        <v>7</v>
      </c>
      <c r="C18" s="8">
        <f>SUM(B18:B25)</f>
        <v>19</v>
      </c>
      <c r="D18" s="11">
        <f t="shared" si="7"/>
        <v>6.6037735849056603E-2</v>
      </c>
      <c r="E18" s="11">
        <f t="shared" si="8"/>
        <v>-1.1802078252505135</v>
      </c>
      <c r="F18" s="11"/>
      <c r="G18" s="107"/>
      <c r="H18" s="110"/>
      <c r="I18" s="5"/>
      <c r="J18" s="65"/>
      <c r="K18" s="65"/>
      <c r="L18" s="65"/>
      <c r="M18" s="38"/>
      <c r="N18" s="38"/>
      <c r="O18" s="38"/>
      <c r="P18" s="17"/>
      <c r="Q18" s="17"/>
      <c r="R18" s="12"/>
      <c r="S18" s="12"/>
      <c r="T18" s="25"/>
      <c r="U18" s="25"/>
      <c r="V18" s="25"/>
      <c r="W18" s="25"/>
      <c r="X18" s="12"/>
      <c r="Y18" s="25"/>
      <c r="Z18" s="25"/>
      <c r="AA18" s="12"/>
      <c r="AB18" s="12"/>
      <c r="AC18" s="12"/>
      <c r="AD18" s="12"/>
      <c r="AE18" s="19"/>
      <c r="AF18" s="25"/>
      <c r="AG18" s="25"/>
      <c r="AH18" s="25"/>
      <c r="AI18" s="25"/>
      <c r="AJ18" s="25"/>
      <c r="AK18" s="25"/>
      <c r="AL18" s="25"/>
      <c r="AM18" s="25"/>
      <c r="AN18" s="5"/>
    </row>
    <row r="19" spans="1:42" x14ac:dyDescent="0.35">
      <c r="A19" s="14">
        <v>6.4</v>
      </c>
      <c r="B19" s="8">
        <v>5</v>
      </c>
      <c r="C19" s="8">
        <f>SUM(B19:B25)</f>
        <v>12</v>
      </c>
      <c r="D19" s="11">
        <f t="shared" si="7"/>
        <v>4.716981132075472E-2</v>
      </c>
      <c r="E19" s="11">
        <f t="shared" si="8"/>
        <v>-1.3263358609287514</v>
      </c>
      <c r="F19" s="11">
        <f>(10^(3.7622-0.8138*6.4))/106</f>
        <v>3.3773349534818787E-4</v>
      </c>
      <c r="G19" s="107"/>
      <c r="H19" s="110"/>
      <c r="I19" s="5"/>
      <c r="J19" s="19"/>
      <c r="K19" s="65"/>
      <c r="L19" s="65"/>
      <c r="M19" s="38"/>
      <c r="N19" s="38"/>
      <c r="O19" s="38"/>
      <c r="P19" s="17"/>
      <c r="Q19" s="17"/>
      <c r="R19" s="12"/>
      <c r="S19" s="12"/>
      <c r="T19" s="25"/>
      <c r="U19" s="25"/>
      <c r="V19" s="25"/>
      <c r="W19" s="25"/>
      <c r="X19" s="12"/>
      <c r="Y19" s="25"/>
      <c r="Z19" s="25"/>
      <c r="AA19" s="12"/>
      <c r="AB19" s="12"/>
      <c r="AC19" s="12"/>
      <c r="AD19" s="12"/>
      <c r="AE19" s="8"/>
      <c r="AF19" s="25"/>
      <c r="AG19" s="25"/>
      <c r="AH19" s="25"/>
      <c r="AI19" s="25"/>
      <c r="AJ19" s="25"/>
      <c r="AK19" s="25"/>
      <c r="AL19" s="25"/>
      <c r="AM19" s="25"/>
      <c r="AN19" s="5"/>
    </row>
    <row r="20" spans="1:42" x14ac:dyDescent="0.35">
      <c r="A20" s="13">
        <v>6.4999999999999902</v>
      </c>
      <c r="B20" s="8">
        <v>3</v>
      </c>
      <c r="C20" s="8">
        <f>SUM(B20:B25)</f>
        <v>7</v>
      </c>
      <c r="D20" s="11">
        <f t="shared" si="7"/>
        <v>2.8301886792452831E-2</v>
      </c>
      <c r="E20" s="11">
        <f t="shared" si="8"/>
        <v>-1.5481846105451078</v>
      </c>
      <c r="F20" s="11">
        <f>(10^(3.7622-0.8138*6.5))/106</f>
        <v>2.8002327768521148E-4</v>
      </c>
      <c r="G20" s="107">
        <f>F20-F22</f>
        <v>8.7521770242560831E-5</v>
      </c>
      <c r="H20" s="110">
        <f>G20/F5</f>
        <v>1.8802775404706928E-2</v>
      </c>
      <c r="I20" s="5"/>
      <c r="J20" s="65"/>
      <c r="K20" s="65"/>
      <c r="L20" s="65"/>
      <c r="M20" s="38"/>
      <c r="N20" s="38"/>
      <c r="O20" s="38"/>
      <c r="P20" s="17"/>
      <c r="Q20" s="17"/>
      <c r="R20" s="12"/>
      <c r="S20" s="12"/>
      <c r="T20" s="25"/>
      <c r="U20" s="25"/>
      <c r="V20" s="25"/>
      <c r="W20" s="25"/>
      <c r="X20" s="12"/>
      <c r="Y20" s="25"/>
      <c r="Z20" s="25"/>
      <c r="AA20" s="12"/>
      <c r="AB20" s="12"/>
      <c r="AC20" s="12"/>
      <c r="AD20" s="12"/>
      <c r="AE20" s="19"/>
      <c r="AF20" s="25"/>
      <c r="AG20" s="25"/>
      <c r="AH20" s="25"/>
      <c r="AI20" s="25"/>
      <c r="AJ20" s="25"/>
      <c r="AK20" s="25"/>
      <c r="AL20" s="25"/>
      <c r="AM20" s="25"/>
      <c r="AN20" s="5"/>
    </row>
    <row r="21" spans="1:42" x14ac:dyDescent="0.35">
      <c r="A21" s="14">
        <v>6.5999999999999899</v>
      </c>
      <c r="B21" s="8">
        <v>3</v>
      </c>
      <c r="C21" s="8">
        <f>SUM(B21:B25)</f>
        <v>4</v>
      </c>
      <c r="D21" s="11">
        <f t="shared" si="7"/>
        <v>2.8301886792452831E-2</v>
      </c>
      <c r="E21" s="11">
        <f t="shared" si="8"/>
        <v>-1.5481846105451078</v>
      </c>
      <c r="F21" s="11"/>
      <c r="G21" s="107"/>
      <c r="H21" s="110"/>
      <c r="I21" s="5"/>
      <c r="J21" s="19"/>
      <c r="K21" s="65"/>
      <c r="L21" s="65"/>
      <c r="M21" s="38"/>
      <c r="N21" s="38"/>
      <c r="O21" s="38"/>
      <c r="P21" s="17"/>
      <c r="Q21" s="17"/>
      <c r="R21" s="12"/>
      <c r="S21" s="12"/>
      <c r="T21" s="25"/>
      <c r="U21" s="25"/>
      <c r="V21" s="25"/>
      <c r="W21" s="25"/>
      <c r="X21" s="12"/>
      <c r="Y21" s="25"/>
      <c r="Z21" s="25"/>
      <c r="AA21" s="12"/>
      <c r="AB21" s="12"/>
      <c r="AC21" s="12"/>
      <c r="AD21" s="12"/>
      <c r="AE21" s="8"/>
      <c r="AF21" s="25"/>
      <c r="AG21" s="25"/>
      <c r="AH21" s="25"/>
      <c r="AI21" s="25"/>
      <c r="AJ21" s="25"/>
      <c r="AK21" s="25"/>
      <c r="AL21" s="25"/>
      <c r="AM21" s="25"/>
      <c r="AN21" s="5"/>
    </row>
    <row r="22" spans="1:42" x14ac:dyDescent="0.35">
      <c r="A22" s="13">
        <v>6.6999999999999904</v>
      </c>
      <c r="B22" s="8">
        <v>1</v>
      </c>
      <c r="C22" s="8">
        <f>SUM(B22:B25)</f>
        <v>1</v>
      </c>
      <c r="D22" s="11">
        <f t="shared" si="7"/>
        <v>9.433962264150943E-3</v>
      </c>
      <c r="E22" s="11">
        <f t="shared" si="8"/>
        <v>-2.0253058652647704</v>
      </c>
      <c r="F22" s="11">
        <f>(10^(3.7622-0.8138*6.7))/106</f>
        <v>1.9250150744265065E-4</v>
      </c>
      <c r="G22" s="107"/>
      <c r="H22" s="110"/>
      <c r="I22" s="5"/>
      <c r="J22" s="65"/>
      <c r="K22" s="65"/>
      <c r="L22" s="65"/>
      <c r="M22" s="38"/>
      <c r="N22" s="38"/>
      <c r="O22" s="38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8"/>
      <c r="AF22" s="126" t="s">
        <v>53</v>
      </c>
      <c r="AG22" s="127"/>
      <c r="AH22" s="127"/>
      <c r="AI22" s="128"/>
      <c r="AJ22" s="8"/>
      <c r="AK22" s="8"/>
      <c r="AL22" s="8"/>
      <c r="AM22" s="8"/>
      <c r="AN22" s="25"/>
      <c r="AO22" s="8"/>
      <c r="AP22" s="8"/>
    </row>
    <row r="23" spans="1:42" x14ac:dyDescent="0.35">
      <c r="A23" s="14">
        <v>6.7999999999999901</v>
      </c>
      <c r="B23" s="8">
        <v>0</v>
      </c>
      <c r="C23" s="8"/>
      <c r="D23" s="8"/>
      <c r="E23" s="8"/>
      <c r="F23" s="8"/>
      <c r="G23" s="8"/>
      <c r="H23" s="15"/>
      <c r="J23" s="19"/>
      <c r="K23" s="65"/>
      <c r="L23" s="65"/>
      <c r="M23" s="65"/>
      <c r="N23" s="65"/>
      <c r="O23" s="65"/>
      <c r="P23" s="65"/>
      <c r="Q23" s="65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129" t="s">
        <v>54</v>
      </c>
      <c r="AG23" s="6">
        <v>0.02</v>
      </c>
      <c r="AH23" s="6">
        <v>0.05</v>
      </c>
      <c r="AI23" s="130">
        <v>0.1</v>
      </c>
      <c r="AJ23" s="8"/>
      <c r="AK23" s="8"/>
      <c r="AL23" s="8"/>
      <c r="AM23" s="8"/>
      <c r="AN23" s="27"/>
      <c r="AO23" s="8"/>
      <c r="AP23" s="8"/>
    </row>
    <row r="24" spans="1:42" x14ac:dyDescent="0.35">
      <c r="A24" s="13">
        <v>6.8999999999999897</v>
      </c>
      <c r="B24" s="8">
        <v>0</v>
      </c>
      <c r="C24" s="8"/>
      <c r="D24" s="8"/>
      <c r="E24" s="8"/>
      <c r="F24" s="8"/>
      <c r="G24" s="8"/>
      <c r="H24" s="15"/>
      <c r="J24" s="65"/>
      <c r="K24" s="65"/>
      <c r="L24" s="65"/>
      <c r="M24" s="65"/>
      <c r="N24" s="65"/>
      <c r="O24" s="65"/>
      <c r="P24" s="65"/>
      <c r="Q24" s="65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21"/>
      <c r="AF24" s="131" t="s">
        <v>55</v>
      </c>
      <c r="AG24" s="100">
        <f>-LN(1 - AG23) / 50</f>
        <v>4.0405414635038932E-4</v>
      </c>
      <c r="AH24" s="100">
        <f>-LN(1 - AH23) / 50</f>
        <v>1.0258658877510115E-3</v>
      </c>
      <c r="AI24" s="15">
        <f>-LN(1 - AI23) / 50</f>
        <v>2.1072103131565254E-3</v>
      </c>
      <c r="AJ24" s="21"/>
      <c r="AK24" s="21"/>
      <c r="AL24" s="21"/>
      <c r="AM24" s="21"/>
      <c r="AN24" s="27"/>
      <c r="AO24" s="8"/>
      <c r="AP24" s="8"/>
    </row>
    <row r="25" spans="1:42" x14ac:dyDescent="0.35">
      <c r="A25" s="16">
        <v>6.9999999999999902</v>
      </c>
      <c r="B25" s="4">
        <v>0</v>
      </c>
      <c r="C25" s="4"/>
      <c r="D25" s="4"/>
      <c r="E25" s="4"/>
      <c r="F25" s="4"/>
      <c r="G25" s="4"/>
      <c r="H25" s="9"/>
      <c r="J25" s="19"/>
      <c r="K25" s="65"/>
      <c r="L25" s="65"/>
      <c r="M25" s="65"/>
      <c r="N25" s="65"/>
      <c r="O25" s="65"/>
      <c r="P25" s="65"/>
      <c r="Q25" s="65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20"/>
      <c r="AF25" s="131" t="s">
        <v>56</v>
      </c>
      <c r="AG25" s="100">
        <v>0.108</v>
      </c>
      <c r="AH25" s="100">
        <v>6.6000000000000003E-2</v>
      </c>
      <c r="AI25" s="15">
        <v>4.1000000000000002E-2</v>
      </c>
      <c r="AJ25" s="20"/>
      <c r="AK25" s="20"/>
      <c r="AL25" s="20"/>
      <c r="AM25" s="20"/>
      <c r="AN25" s="27"/>
      <c r="AO25" s="8"/>
      <c r="AP25" s="8"/>
    </row>
    <row r="26" spans="1:42" x14ac:dyDescent="0.35">
      <c r="AE26" s="40"/>
      <c r="AF26" s="131" t="s">
        <v>59</v>
      </c>
      <c r="AG26" s="100">
        <v>0.108</v>
      </c>
      <c r="AH26" s="100">
        <v>6.6000000000000003E-2</v>
      </c>
      <c r="AI26" s="15">
        <v>4.1000000000000002E-2</v>
      </c>
      <c r="AJ26" s="25"/>
      <c r="AK26" s="25"/>
      <c r="AL26" s="25"/>
      <c r="AM26" s="25"/>
      <c r="AN26" s="27"/>
      <c r="AO26" s="8"/>
      <c r="AP26" s="8"/>
    </row>
    <row r="27" spans="1:42" x14ac:dyDescent="0.35">
      <c r="AE27" s="40"/>
      <c r="AF27" s="132" t="s">
        <v>57</v>
      </c>
      <c r="AG27" s="53">
        <f>Y69</f>
        <v>2.1320230818886601E-4</v>
      </c>
      <c r="AH27" s="53">
        <f>Y69</f>
        <v>2.1320230818886601E-4</v>
      </c>
      <c r="AI27" s="54">
        <f>Y69</f>
        <v>2.1320230818886601E-4</v>
      </c>
      <c r="AJ27" s="88"/>
      <c r="AK27" s="88"/>
      <c r="AL27" s="25"/>
      <c r="AM27" s="25"/>
      <c r="AN27" s="5"/>
      <c r="AO27" s="8"/>
      <c r="AP27" s="8"/>
    </row>
    <row r="28" spans="1:42" x14ac:dyDescent="0.35">
      <c r="AE28" s="40"/>
      <c r="AF28" s="8"/>
      <c r="AG28" s="89"/>
      <c r="AH28" s="25"/>
      <c r="AI28" s="25"/>
      <c r="AJ28" s="25"/>
      <c r="AK28" s="25"/>
      <c r="AL28" s="25"/>
      <c r="AM28" s="25"/>
      <c r="AN28" s="25"/>
      <c r="AO28" s="8"/>
      <c r="AP28" s="8"/>
    </row>
    <row r="29" spans="1:42" x14ac:dyDescent="0.35">
      <c r="AE29" s="40"/>
      <c r="AF29" s="72"/>
      <c r="AG29" s="89"/>
      <c r="AH29" s="71"/>
      <c r="AI29" s="71"/>
      <c r="AJ29" s="71"/>
      <c r="AK29" s="71"/>
      <c r="AL29" s="71"/>
      <c r="AM29" s="71"/>
      <c r="AN29" s="71"/>
      <c r="AO29" s="8"/>
      <c r="AP29" s="8"/>
    </row>
    <row r="30" spans="1:42" s="27" customFormat="1" x14ac:dyDescent="0.35">
      <c r="AE30" s="77"/>
      <c r="AF30" s="77"/>
      <c r="AG30" s="90"/>
      <c r="AH30" s="71"/>
      <c r="AI30" s="71"/>
      <c r="AJ30" s="71"/>
      <c r="AK30" s="71"/>
      <c r="AL30" s="71"/>
      <c r="AM30" s="71"/>
      <c r="AN30" s="71"/>
      <c r="AO30" s="8"/>
      <c r="AP30" s="8"/>
    </row>
    <row r="31" spans="1:42" s="27" customFormat="1" x14ac:dyDescent="0.35">
      <c r="AE31" s="21"/>
      <c r="AF31" s="21"/>
      <c r="AG31" s="91"/>
      <c r="AH31" s="78"/>
      <c r="AI31" s="21"/>
      <c r="AJ31" s="21"/>
      <c r="AK31" s="21"/>
      <c r="AL31" s="21"/>
      <c r="AM31" s="21"/>
      <c r="AN31" s="21"/>
      <c r="AO31" s="8"/>
      <c r="AP31" s="8"/>
    </row>
    <row r="32" spans="1:42" s="27" customFormat="1" x14ac:dyDescent="0.35">
      <c r="AE32" s="73"/>
      <c r="AF32" s="73"/>
      <c r="AG32" s="73"/>
      <c r="AH32" s="74"/>
      <c r="AI32" s="73"/>
      <c r="AJ32" s="73"/>
      <c r="AK32" s="97"/>
      <c r="AL32" s="73"/>
      <c r="AM32" s="73"/>
      <c r="AN32" s="73"/>
      <c r="AO32" s="8"/>
      <c r="AP32" s="8"/>
    </row>
    <row r="33" spans="1:52" x14ac:dyDescent="0.35">
      <c r="AE33" s="72"/>
      <c r="AF33" s="72"/>
      <c r="AG33" s="72"/>
      <c r="AH33" s="72"/>
      <c r="AI33" s="72"/>
      <c r="AJ33" s="72"/>
      <c r="AK33" s="97"/>
      <c r="AL33" s="72"/>
      <c r="AM33" s="72"/>
      <c r="AN33" s="72"/>
      <c r="AO33" s="8"/>
      <c r="AP33" s="8"/>
      <c r="AQ33" s="39"/>
      <c r="AR33" s="39"/>
      <c r="AS33" s="39"/>
      <c r="AT33" s="39"/>
      <c r="AU33" s="39"/>
      <c r="AV33" s="42"/>
      <c r="AW33" s="39"/>
      <c r="AX33" s="39"/>
      <c r="AY33" s="39"/>
      <c r="AZ33" s="39"/>
    </row>
    <row r="34" spans="1:52" x14ac:dyDescent="0.35">
      <c r="AE34" s="76"/>
      <c r="AF34" s="76"/>
      <c r="AG34" s="76"/>
      <c r="AH34" s="76"/>
      <c r="AI34" s="76"/>
      <c r="AJ34" s="76"/>
      <c r="AK34" s="99"/>
      <c r="AL34" s="76"/>
      <c r="AM34" s="76"/>
      <c r="AN34" s="76"/>
      <c r="AO34" s="8"/>
      <c r="AP34" s="8"/>
    </row>
    <row r="35" spans="1:52" x14ac:dyDescent="0.35">
      <c r="AE35" s="73"/>
      <c r="AF35" s="73"/>
      <c r="AG35" s="73"/>
      <c r="AH35" s="73"/>
      <c r="AI35" s="73"/>
      <c r="AJ35" s="73"/>
      <c r="AK35" s="27"/>
      <c r="AL35" s="73"/>
      <c r="AM35" s="73"/>
      <c r="AN35" s="73"/>
      <c r="AO35" s="8"/>
      <c r="AP35" s="8"/>
    </row>
    <row r="36" spans="1:52" x14ac:dyDescent="0.35">
      <c r="AE36" s="40"/>
      <c r="AF36" s="72"/>
      <c r="AG36" s="48"/>
      <c r="AH36" s="71"/>
      <c r="AI36" s="71"/>
      <c r="AJ36" s="71"/>
      <c r="AK36" s="98"/>
      <c r="AL36" s="71"/>
      <c r="AM36" s="71"/>
      <c r="AN36" s="71"/>
      <c r="AO36" s="8"/>
      <c r="AP36" s="8"/>
    </row>
    <row r="37" spans="1:52" ht="13" customHeight="1" x14ac:dyDescent="0.35">
      <c r="AE37" s="40"/>
      <c r="AF37" s="72"/>
      <c r="AG37" s="48"/>
      <c r="AH37" s="71"/>
      <c r="AI37" s="71"/>
      <c r="AJ37" s="71"/>
      <c r="AK37" s="98"/>
      <c r="AL37" s="71"/>
      <c r="AM37" s="71"/>
      <c r="AN37" s="71"/>
      <c r="AO37" s="8"/>
      <c r="AP37" s="8"/>
    </row>
    <row r="38" spans="1:52" x14ac:dyDescent="0.35">
      <c r="AE38" s="40"/>
      <c r="AF38" s="72"/>
      <c r="AG38" s="48"/>
      <c r="AH38" s="71"/>
      <c r="AI38" s="71"/>
      <c r="AJ38" s="71"/>
      <c r="AK38" s="98"/>
      <c r="AL38" s="71"/>
      <c r="AM38" s="71"/>
      <c r="AN38" s="71"/>
      <c r="AO38" s="8"/>
      <c r="AP38" s="8"/>
    </row>
    <row r="39" spans="1:52" x14ac:dyDescent="0.35">
      <c r="AE39" s="40"/>
      <c r="AF39" s="72"/>
      <c r="AG39" s="48"/>
      <c r="AH39" s="71"/>
      <c r="AI39" s="71"/>
      <c r="AJ39" s="71"/>
      <c r="AK39" s="71"/>
      <c r="AL39" s="71"/>
      <c r="AM39" s="71"/>
      <c r="AN39" s="71"/>
      <c r="AO39" s="8"/>
      <c r="AP39" s="8"/>
    </row>
    <row r="40" spans="1:52" x14ac:dyDescent="0.35">
      <c r="AE40" s="77"/>
      <c r="AF40" s="77"/>
      <c r="AG40" s="77"/>
      <c r="AH40" s="71"/>
      <c r="AI40" s="71"/>
      <c r="AJ40" s="71"/>
      <c r="AK40" s="71"/>
      <c r="AL40" s="71"/>
      <c r="AM40" s="71"/>
      <c r="AN40" s="71"/>
      <c r="AO40" s="8"/>
      <c r="AP40" s="8"/>
    </row>
    <row r="41" spans="1:52" x14ac:dyDescent="0.35">
      <c r="AE41" s="70"/>
      <c r="AF41" s="70"/>
      <c r="AG41" s="70"/>
      <c r="AH41" s="78"/>
      <c r="AI41" s="78"/>
      <c r="AJ41" s="78"/>
      <c r="AK41" s="78"/>
      <c r="AL41" s="78"/>
      <c r="AM41" s="78"/>
      <c r="AN41" s="78"/>
      <c r="AO41" s="8"/>
      <c r="AP41" s="8"/>
    </row>
    <row r="42" spans="1:52" x14ac:dyDescent="0.35">
      <c r="AE42" s="19"/>
      <c r="AF42" s="71"/>
      <c r="AG42" s="71"/>
      <c r="AH42" s="71"/>
      <c r="AI42" s="71"/>
      <c r="AJ42" s="71"/>
      <c r="AK42" s="71"/>
      <c r="AL42" s="71"/>
      <c r="AM42" s="71"/>
      <c r="AN42" s="72"/>
      <c r="AO42" s="8"/>
      <c r="AP42" s="8"/>
    </row>
    <row r="43" spans="1:52" x14ac:dyDescent="0.35">
      <c r="AE43" s="72"/>
      <c r="AF43" s="71"/>
      <c r="AG43" s="71"/>
      <c r="AH43" s="71"/>
      <c r="AI43" s="71"/>
      <c r="AJ43" s="71"/>
      <c r="AK43" s="71"/>
      <c r="AL43" s="71"/>
      <c r="AM43" s="71"/>
      <c r="AN43" s="72"/>
      <c r="AO43" s="8"/>
      <c r="AP43" s="8"/>
    </row>
    <row r="44" spans="1:52" x14ac:dyDescent="0.35">
      <c r="S44" s="55" t="s">
        <v>38</v>
      </c>
      <c r="T44" s="8"/>
      <c r="U44" s="8"/>
      <c r="V44" s="8"/>
      <c r="W44" s="8"/>
      <c r="X44" s="8"/>
      <c r="Y44" s="8"/>
      <c r="Z44" s="8"/>
      <c r="AA44" s="8"/>
      <c r="AB44" s="25"/>
      <c r="AE44" s="72"/>
      <c r="AF44" s="72"/>
      <c r="AG44" s="72"/>
      <c r="AH44" s="72"/>
      <c r="AI44" s="72"/>
      <c r="AJ44" s="72"/>
      <c r="AK44" s="72"/>
      <c r="AL44" s="72"/>
      <c r="AM44" s="72"/>
      <c r="AN44" s="71"/>
      <c r="AO44" s="8"/>
      <c r="AP44" s="56"/>
    </row>
    <row r="45" spans="1:52" x14ac:dyDescent="0.35">
      <c r="S45" s="55"/>
      <c r="T45" s="8"/>
      <c r="U45" s="8"/>
      <c r="V45" s="8"/>
      <c r="W45" s="8"/>
      <c r="X45" s="8"/>
      <c r="Y45" s="8"/>
      <c r="Z45" s="8"/>
      <c r="AA45" s="8"/>
      <c r="AB45" s="25"/>
      <c r="AE45" s="72"/>
      <c r="AF45" s="72"/>
      <c r="AG45" s="72"/>
      <c r="AH45" s="72"/>
      <c r="AI45" s="72"/>
      <c r="AJ45" s="72"/>
      <c r="AK45" s="72"/>
      <c r="AL45" s="72"/>
      <c r="AM45" s="72"/>
      <c r="AN45" s="71"/>
      <c r="AO45" s="8"/>
      <c r="AP45" s="56"/>
    </row>
    <row r="46" spans="1:52" ht="16" x14ac:dyDescent="0.35">
      <c r="A46" s="116" t="s">
        <v>10</v>
      </c>
      <c r="B46" s="117"/>
      <c r="C46" s="117"/>
      <c r="D46" s="117"/>
      <c r="E46" s="117"/>
      <c r="F46" s="117"/>
      <c r="G46" s="117"/>
      <c r="H46" s="118"/>
      <c r="S46" s="111" t="s">
        <v>12</v>
      </c>
      <c r="T46" s="112"/>
      <c r="U46" s="112"/>
      <c r="V46" s="112"/>
      <c r="W46" s="112"/>
      <c r="X46" s="112"/>
      <c r="Y46" s="112"/>
      <c r="Z46" s="112"/>
      <c r="AA46" s="112"/>
      <c r="AB46" s="113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8"/>
      <c r="AP46" s="56"/>
    </row>
    <row r="47" spans="1:52" x14ac:dyDescent="0.35">
      <c r="A47" s="28" t="s">
        <v>4</v>
      </c>
      <c r="B47" s="29" t="s">
        <v>5</v>
      </c>
      <c r="C47" s="29" t="s">
        <v>25</v>
      </c>
      <c r="D47" s="29" t="s">
        <v>11</v>
      </c>
      <c r="E47" s="29" t="s">
        <v>6</v>
      </c>
      <c r="F47" s="30" t="s">
        <v>7</v>
      </c>
      <c r="G47" s="29" t="s">
        <v>8</v>
      </c>
      <c r="H47" s="31" t="s">
        <v>9</v>
      </c>
      <c r="S47" s="57" t="s">
        <v>29</v>
      </c>
      <c r="T47" s="23" t="s">
        <v>30</v>
      </c>
      <c r="U47" s="23" t="s">
        <v>31</v>
      </c>
      <c r="V47" s="23" t="s">
        <v>34</v>
      </c>
      <c r="W47" s="23" t="s">
        <v>20</v>
      </c>
      <c r="X47" s="23" t="s">
        <v>35</v>
      </c>
      <c r="Y47" s="23" t="s">
        <v>22</v>
      </c>
      <c r="Z47" s="23" t="s">
        <v>36</v>
      </c>
      <c r="AA47" s="23" t="s">
        <v>24</v>
      </c>
      <c r="AB47" s="24" t="s">
        <v>37</v>
      </c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8"/>
      <c r="AP47" s="56"/>
    </row>
    <row r="48" spans="1:52" x14ac:dyDescent="0.35">
      <c r="A48" s="10">
        <v>5</v>
      </c>
      <c r="B48" s="6">
        <v>42</v>
      </c>
      <c r="C48" s="8">
        <f>SUM(B48:B68)</f>
        <v>193</v>
      </c>
      <c r="D48" s="25">
        <f>B48/106</f>
        <v>0.39622641509433965</v>
      </c>
      <c r="E48" s="25">
        <f>LOG10(D48)</f>
        <v>-0.40205657486686974</v>
      </c>
      <c r="F48" s="25">
        <f>(10^(4.5279-0.9898*5))/106</f>
        <v>3.5776193823147369E-3</v>
      </c>
      <c r="G48" s="107">
        <f>F48-F52</f>
        <v>2.1398999764748287E-3</v>
      </c>
      <c r="H48" s="110">
        <f>G48/F48</f>
        <v>0.59813516973130421</v>
      </c>
      <c r="S48" s="58">
        <v>5</v>
      </c>
      <c r="T48" s="6">
        <v>5.4</v>
      </c>
      <c r="U48" s="49">
        <f>AVERAGE(S48:T48)</f>
        <v>5.2</v>
      </c>
      <c r="V48" s="50">
        <f>G5</f>
        <v>2.454972048830151E-3</v>
      </c>
      <c r="W48" s="50">
        <v>3.4499080192551101E-2</v>
      </c>
      <c r="X48" s="50">
        <f>V48*W48</f>
        <v>8.4694277583062858E-5</v>
      </c>
      <c r="Y48" s="50">
        <v>4.8184132632250742E-3</v>
      </c>
      <c r="Z48" s="50">
        <f xml:space="preserve"> V48 * Y48</f>
        <v>1.1829069880930034E-5</v>
      </c>
      <c r="AA48" s="50">
        <v>1.1863826129540067E-3</v>
      </c>
      <c r="AB48" s="51">
        <f xml:space="preserve"> V48 * AA48</f>
        <v>2.9125361540201659E-6</v>
      </c>
      <c r="AE48" s="40"/>
      <c r="AF48" s="72"/>
      <c r="AG48" s="48"/>
      <c r="AH48" s="71"/>
      <c r="AI48" s="71"/>
      <c r="AJ48" s="71"/>
      <c r="AK48" s="71"/>
      <c r="AL48" s="71"/>
      <c r="AM48" s="71"/>
      <c r="AN48" s="71"/>
      <c r="AO48" s="8"/>
      <c r="AP48" s="56"/>
    </row>
    <row r="49" spans="1:42" x14ac:dyDescent="0.35">
      <c r="A49" s="13">
        <v>5.0999999999999996</v>
      </c>
      <c r="B49" s="8">
        <v>30</v>
      </c>
      <c r="C49" s="8">
        <f>SUM(B49:B68)</f>
        <v>151</v>
      </c>
      <c r="D49" s="25">
        <f>B49/106</f>
        <v>0.28301886792452829</v>
      </c>
      <c r="E49" s="25">
        <f>LOG10(D49)</f>
        <v>-0.54818461054510781</v>
      </c>
      <c r="F49" s="25"/>
      <c r="G49" s="107"/>
      <c r="H49" s="110"/>
      <c r="S49" s="59">
        <v>5.5</v>
      </c>
      <c r="T49" s="8">
        <v>5.9</v>
      </c>
      <c r="U49" s="48">
        <f t="shared" ref="U49:U51" si="16">AVERAGE(S49:T49)</f>
        <v>5.7</v>
      </c>
      <c r="V49" s="25">
        <f>G10</f>
        <v>9.6193682729725819E-4</v>
      </c>
      <c r="W49" s="25">
        <v>5.4349416785573923E-2</v>
      </c>
      <c r="X49" s="25">
        <f>V49*W49</f>
        <v>5.2280705548171327E-5</v>
      </c>
      <c r="Y49" s="25">
        <v>7.5139194413479382E-3</v>
      </c>
      <c r="Z49" s="25">
        <f xml:space="preserve"> V49 * Y49</f>
        <v>7.2279158279774224E-6</v>
      </c>
      <c r="AA49" s="25">
        <v>1.7736338835225851E-3</v>
      </c>
      <c r="AB49" s="26">
        <f xml:space="preserve"> V49 * AA49</f>
        <v>1.7061237507026304E-6</v>
      </c>
      <c r="AE49" s="40"/>
      <c r="AF49" s="72"/>
      <c r="AG49" s="48"/>
      <c r="AH49" s="71"/>
      <c r="AI49" s="71"/>
      <c r="AJ49" s="71"/>
      <c r="AK49" s="71"/>
      <c r="AL49" s="71"/>
      <c r="AM49" s="71"/>
      <c r="AN49" s="71"/>
      <c r="AO49" s="8"/>
      <c r="AP49" s="56"/>
    </row>
    <row r="50" spans="1:42" x14ac:dyDescent="0.35">
      <c r="A50" s="14">
        <v>5.2</v>
      </c>
      <c r="B50" s="8">
        <v>26</v>
      </c>
      <c r="C50" s="8">
        <f>SUM(B50:B68)</f>
        <v>121</v>
      </c>
      <c r="D50" s="25">
        <f t="shared" ref="D50:D62" si="17">B50/106</f>
        <v>0.24528301886792453</v>
      </c>
      <c r="E50" s="25">
        <f t="shared" ref="E50:E62" si="18">LOG10(D50)</f>
        <v>-0.61033251729395233</v>
      </c>
      <c r="F50" s="25"/>
      <c r="G50" s="107"/>
      <c r="H50" s="110"/>
      <c r="S50" s="59">
        <v>6</v>
      </c>
      <c r="T50" s="8">
        <v>6.4</v>
      </c>
      <c r="U50" s="48">
        <f t="shared" si="16"/>
        <v>6.2</v>
      </c>
      <c r="V50" s="25">
        <f>G15</f>
        <v>3.7691771690502774E-4</v>
      </c>
      <c r="W50" s="25">
        <v>8.7687808446721305E-2</v>
      </c>
      <c r="X50" s="25">
        <f>V50*W50</f>
        <v>3.3051088560143599E-5</v>
      </c>
      <c r="Y50" s="25">
        <v>1.2239871375478772E-2</v>
      </c>
      <c r="Z50" s="25">
        <f xml:space="preserve"> V50 * Y50</f>
        <v>4.6134243740566609E-6</v>
      </c>
      <c r="AA50" s="25">
        <v>2.7797023730332659E-3</v>
      </c>
      <c r="AB50" s="26">
        <f xml:space="preserve"> V50 * AA50</f>
        <v>1.0477190721191863E-6</v>
      </c>
      <c r="AE50" s="40"/>
      <c r="AF50" s="72"/>
      <c r="AG50" s="48"/>
      <c r="AH50" s="71"/>
      <c r="AI50" s="71"/>
      <c r="AJ50" s="71"/>
      <c r="AK50" s="71"/>
      <c r="AL50" s="71"/>
      <c r="AM50" s="71"/>
      <c r="AN50" s="71"/>
      <c r="AO50" s="8"/>
      <c r="AP50" s="56"/>
    </row>
    <row r="51" spans="1:42" x14ac:dyDescent="0.35">
      <c r="A51" s="13">
        <v>5.3</v>
      </c>
      <c r="B51" s="8">
        <v>18</v>
      </c>
      <c r="C51" s="8">
        <f>SUM(B51:B68)</f>
        <v>95</v>
      </c>
      <c r="D51" s="25">
        <f t="shared" si="17"/>
        <v>0.16981132075471697</v>
      </c>
      <c r="E51" s="25">
        <f t="shared" si="18"/>
        <v>-0.77003336016146418</v>
      </c>
      <c r="F51" s="25"/>
      <c r="G51" s="107"/>
      <c r="H51" s="110"/>
      <c r="S51" s="60">
        <v>6.5</v>
      </c>
      <c r="T51" s="4">
        <v>6.7</v>
      </c>
      <c r="U51" s="52">
        <f t="shared" si="16"/>
        <v>6.6</v>
      </c>
      <c r="V51" s="53">
        <f>G20</f>
        <v>8.7521770242560831E-5</v>
      </c>
      <c r="W51" s="53">
        <v>0.13027774670135817</v>
      </c>
      <c r="X51" s="53">
        <f>V51*W51</f>
        <v>1.1402139014514806E-5</v>
      </c>
      <c r="Y51" s="53">
        <v>1.871035313009084E-2</v>
      </c>
      <c r="Z51" s="53">
        <f xml:space="preserve"> V51 * Y51</f>
        <v>1.6375632278089894E-6</v>
      </c>
      <c r="AA51" s="53">
        <v>4.1403325221258669E-3</v>
      </c>
      <c r="AB51" s="54">
        <f xml:space="preserve"> V51 * AA51</f>
        <v>3.6236923172930251E-7</v>
      </c>
      <c r="AE51" s="40"/>
      <c r="AF51" s="72"/>
      <c r="AG51" s="48"/>
      <c r="AH51" s="71"/>
      <c r="AI51" s="71"/>
      <c r="AJ51" s="71"/>
      <c r="AK51" s="71"/>
      <c r="AL51" s="71"/>
      <c r="AM51" s="71"/>
      <c r="AN51" s="71"/>
      <c r="AO51" s="8"/>
      <c r="AP51" s="56"/>
    </row>
    <row r="52" spans="1:42" x14ac:dyDescent="0.35">
      <c r="A52" s="14">
        <v>5.4</v>
      </c>
      <c r="B52" s="8">
        <v>9</v>
      </c>
      <c r="C52" s="8">
        <f>SUM(B52:B68)</f>
        <v>77</v>
      </c>
      <c r="D52" s="25">
        <f t="shared" si="17"/>
        <v>8.4905660377358486E-2</v>
      </c>
      <c r="E52" s="25">
        <f t="shared" si="18"/>
        <v>-1.0710633558254454</v>
      </c>
      <c r="F52" s="25">
        <f>(10^(4.5279-0.9898*5.4))/106</f>
        <v>1.4377194058399084E-3</v>
      </c>
      <c r="G52" s="107"/>
      <c r="H52" s="110"/>
      <c r="S52" s="114" t="s">
        <v>39</v>
      </c>
      <c r="T52" s="115"/>
      <c r="U52" s="115"/>
      <c r="V52" s="25"/>
      <c r="W52" s="25"/>
      <c r="X52" s="25">
        <f>SUM(X48:X51)</f>
        <v>1.8142821070589259E-4</v>
      </c>
      <c r="Y52" s="25"/>
      <c r="Z52" s="25">
        <f>SUM(Z48:Z51)</f>
        <v>2.5307973310773107E-5</v>
      </c>
      <c r="AA52" s="25"/>
      <c r="AB52" s="25">
        <f>SUM(AB48:AB51)</f>
        <v>6.0287482085712839E-6</v>
      </c>
      <c r="AE52" s="77"/>
      <c r="AF52" s="77"/>
      <c r="AG52" s="77"/>
      <c r="AH52" s="71"/>
      <c r="AI52" s="71"/>
      <c r="AJ52" s="71"/>
      <c r="AK52" s="71"/>
      <c r="AL52" s="71"/>
      <c r="AM52" s="71"/>
      <c r="AN52" s="71"/>
      <c r="AO52" s="8"/>
      <c r="AP52" s="56"/>
    </row>
    <row r="53" spans="1:42" x14ac:dyDescent="0.35">
      <c r="A53" s="13">
        <v>5.5</v>
      </c>
      <c r="B53" s="8">
        <v>16</v>
      </c>
      <c r="C53" s="8">
        <f>SUM(B53:B68)</f>
        <v>68</v>
      </c>
      <c r="D53" s="25">
        <f t="shared" si="17"/>
        <v>0.15094339622641509</v>
      </c>
      <c r="E53" s="25">
        <f t="shared" si="18"/>
        <v>-0.82118588260884551</v>
      </c>
      <c r="F53" s="25">
        <f>(10^(4.5279-0.9898*5.5))/106</f>
        <v>1.1447064627028078E-3</v>
      </c>
      <c r="G53" s="107">
        <f>F53-F57</f>
        <v>6.8468919436126487E-4</v>
      </c>
      <c r="H53" s="110">
        <f>G53/F48</f>
        <v>0.19138122902226332</v>
      </c>
      <c r="S53" s="108" t="s">
        <v>40</v>
      </c>
      <c r="T53" s="103"/>
      <c r="U53" s="103"/>
      <c r="V53" s="119">
        <f>X52+Z52+AB52</f>
        <v>2.12764932225237E-4</v>
      </c>
      <c r="W53" s="104"/>
      <c r="X53" s="104"/>
      <c r="Y53" s="104"/>
      <c r="Z53" s="104"/>
      <c r="AA53" s="104"/>
      <c r="AB53" s="104"/>
      <c r="AE53" s="21"/>
      <c r="AF53" s="21"/>
      <c r="AG53" s="21"/>
      <c r="AH53" s="78"/>
      <c r="AI53" s="21"/>
      <c r="AJ53" s="21"/>
      <c r="AK53" s="21"/>
      <c r="AL53" s="21"/>
      <c r="AM53" s="21"/>
      <c r="AN53" s="21"/>
      <c r="AO53" s="8"/>
      <c r="AP53" s="56"/>
    </row>
    <row r="54" spans="1:42" x14ac:dyDescent="0.35">
      <c r="A54" s="14">
        <v>5.6</v>
      </c>
      <c r="B54" s="8">
        <v>13</v>
      </c>
      <c r="C54" s="8">
        <f>SUM(B54:B68)</f>
        <v>52</v>
      </c>
      <c r="D54" s="25">
        <f t="shared" si="17"/>
        <v>0.12264150943396226</v>
      </c>
      <c r="E54" s="25">
        <f t="shared" si="18"/>
        <v>-0.91136251295793347</v>
      </c>
      <c r="F54" s="25"/>
      <c r="G54" s="107"/>
      <c r="H54" s="110"/>
      <c r="S54" s="66"/>
      <c r="T54" s="20"/>
      <c r="U54" s="20"/>
      <c r="V54" s="67"/>
      <c r="W54" s="20"/>
      <c r="X54" s="20"/>
      <c r="Y54" s="20"/>
      <c r="Z54" s="20"/>
      <c r="AA54" s="20"/>
      <c r="AB54" s="20"/>
      <c r="AE54" s="73"/>
      <c r="AF54" s="73"/>
      <c r="AG54" s="73"/>
      <c r="AH54" s="74"/>
      <c r="AI54" s="73"/>
      <c r="AJ54" s="73"/>
      <c r="AK54" s="73"/>
      <c r="AL54" s="73"/>
      <c r="AM54" s="73"/>
      <c r="AN54" s="73"/>
      <c r="AO54" s="8"/>
      <c r="AP54" s="56"/>
    </row>
    <row r="55" spans="1:42" x14ac:dyDescent="0.35">
      <c r="A55" s="13">
        <v>5.7</v>
      </c>
      <c r="B55" s="8">
        <v>11</v>
      </c>
      <c r="C55" s="8">
        <f>SUM(B55:B68)</f>
        <v>39</v>
      </c>
      <c r="D55" s="25">
        <f t="shared" si="17"/>
        <v>0.10377358490566038</v>
      </c>
      <c r="E55" s="25">
        <f t="shared" si="18"/>
        <v>-0.98391318010654516</v>
      </c>
      <c r="F55" s="25"/>
      <c r="G55" s="107"/>
      <c r="H55" s="110"/>
      <c r="S55" s="55"/>
      <c r="T55" s="8"/>
      <c r="U55" s="8"/>
      <c r="V55" s="8"/>
      <c r="W55" s="8"/>
      <c r="X55" s="8"/>
      <c r="Y55" s="8"/>
      <c r="Z55" s="8"/>
      <c r="AA55" s="8"/>
      <c r="AB55" s="8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8"/>
      <c r="AP55" s="56"/>
    </row>
    <row r="56" spans="1:42" x14ac:dyDescent="0.35">
      <c r="A56" s="14">
        <v>5.8</v>
      </c>
      <c r="B56" s="8">
        <v>6</v>
      </c>
      <c r="C56" s="8">
        <f>SUM(B56:B68)</f>
        <v>28</v>
      </c>
      <c r="D56" s="25">
        <f t="shared" si="17"/>
        <v>5.6603773584905662E-2</v>
      </c>
      <c r="E56" s="25">
        <f t="shared" si="18"/>
        <v>-1.2471546148811266</v>
      </c>
      <c r="F56" s="25"/>
      <c r="G56" s="107"/>
      <c r="H56" s="110"/>
      <c r="S56" s="120" t="s">
        <v>10</v>
      </c>
      <c r="T56" s="121"/>
      <c r="U56" s="121"/>
      <c r="V56" s="121"/>
      <c r="W56" s="121"/>
      <c r="X56" s="121"/>
      <c r="Y56" s="121"/>
      <c r="Z56" s="121"/>
      <c r="AA56" s="121"/>
      <c r="AB56" s="122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8"/>
      <c r="AP56" s="56"/>
    </row>
    <row r="57" spans="1:42" x14ac:dyDescent="0.35">
      <c r="A57" s="13">
        <v>5.9</v>
      </c>
      <c r="B57" s="8">
        <v>7</v>
      </c>
      <c r="C57" s="8">
        <f>SUM(B57:B68)</f>
        <v>22</v>
      </c>
      <c r="D57" s="25">
        <f t="shared" si="17"/>
        <v>6.6037735849056603E-2</v>
      </c>
      <c r="E57" s="25">
        <f t="shared" si="18"/>
        <v>-1.1802078252505135</v>
      </c>
      <c r="F57" s="25">
        <f>(10^(4.5279-0.9898*5.9))/106</f>
        <v>4.6001726834154295E-4</v>
      </c>
      <c r="G57" s="107"/>
      <c r="H57" s="110"/>
      <c r="S57" s="57" t="s">
        <v>29</v>
      </c>
      <c r="T57" s="23" t="s">
        <v>30</v>
      </c>
      <c r="U57" s="23" t="s">
        <v>31</v>
      </c>
      <c r="V57" s="23" t="s">
        <v>34</v>
      </c>
      <c r="W57" s="23" t="s">
        <v>20</v>
      </c>
      <c r="X57" s="23" t="s">
        <v>35</v>
      </c>
      <c r="Y57" s="23" t="s">
        <v>22</v>
      </c>
      <c r="Z57" s="23" t="s">
        <v>36</v>
      </c>
      <c r="AA57" s="23" t="s">
        <v>24</v>
      </c>
      <c r="AB57" s="24" t="s">
        <v>37</v>
      </c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8"/>
      <c r="AP57" s="56"/>
    </row>
    <row r="58" spans="1:42" x14ac:dyDescent="0.35">
      <c r="A58" s="14">
        <v>6</v>
      </c>
      <c r="B58" s="8">
        <v>4</v>
      </c>
      <c r="C58" s="8">
        <f>SUM(B58:B68)</f>
        <v>15</v>
      </c>
      <c r="D58" s="25">
        <f t="shared" si="17"/>
        <v>3.7735849056603772E-2</v>
      </c>
      <c r="E58" s="25">
        <f t="shared" si="18"/>
        <v>-1.4232458739368079</v>
      </c>
      <c r="F58" s="25">
        <f>(10^(4.5279-0.9898*6))/106</f>
        <v>3.6626391623185175E-4</v>
      </c>
      <c r="G58" s="107">
        <f>F58-F62</f>
        <v>2.1907532970179085E-4</v>
      </c>
      <c r="H58" s="110">
        <f>G58/F48</f>
        <v>6.1234946004806154E-2</v>
      </c>
      <c r="S58" s="58">
        <v>5</v>
      </c>
      <c r="T58" s="6">
        <v>5.4</v>
      </c>
      <c r="U58" s="49">
        <f>AVERAGE(S58:T58)</f>
        <v>5.2</v>
      </c>
      <c r="V58" s="50">
        <f>G48</f>
        <v>2.1398999764748287E-3</v>
      </c>
      <c r="W58" s="50">
        <v>2.4979420083504101E-6</v>
      </c>
      <c r="X58" s="50">
        <f>V58*W58</f>
        <v>5.3453460449045289E-9</v>
      </c>
      <c r="Y58" s="50">
        <v>3.7127139140835652E-9</v>
      </c>
      <c r="Z58" s="50">
        <f xml:space="preserve"> V58 * Y58</f>
        <v>7.944836417405191E-12</v>
      </c>
      <c r="AA58" s="50">
        <v>4.2253645027301445E-11</v>
      </c>
      <c r="AB58" s="51">
        <f xml:space="preserve"> V58 * AA58</f>
        <v>9.0418573999898129E-14</v>
      </c>
      <c r="AE58" s="40"/>
      <c r="AF58" s="72"/>
      <c r="AG58" s="48"/>
      <c r="AH58" s="71"/>
      <c r="AI58" s="71"/>
      <c r="AJ58" s="71"/>
      <c r="AK58" s="71"/>
      <c r="AL58" s="71"/>
      <c r="AM58" s="71"/>
      <c r="AN58" s="71"/>
      <c r="AO58" s="8"/>
      <c r="AP58" s="56"/>
    </row>
    <row r="59" spans="1:42" x14ac:dyDescent="0.35">
      <c r="A59" s="13">
        <v>6.1</v>
      </c>
      <c r="B59" s="8">
        <v>4</v>
      </c>
      <c r="C59" s="8">
        <f>SUM(B59:B68)</f>
        <v>11</v>
      </c>
      <c r="D59" s="25">
        <f t="shared" si="17"/>
        <v>3.7735849056603772E-2</v>
      </c>
      <c r="E59" s="25">
        <f t="shared" si="18"/>
        <v>-1.4232458739368079</v>
      </c>
      <c r="F59" s="25"/>
      <c r="G59" s="107"/>
      <c r="H59" s="110"/>
      <c r="S59" s="59">
        <v>5.5</v>
      </c>
      <c r="T59" s="8">
        <v>5.9</v>
      </c>
      <c r="U59" s="48">
        <f t="shared" ref="U59:U61" si="19">AVERAGE(S59:T59)</f>
        <v>5.7</v>
      </c>
      <c r="V59" s="25">
        <f>G53</f>
        <v>6.8468919436126487E-4</v>
      </c>
      <c r="W59" s="25">
        <v>6.9076518817379196E-5</v>
      </c>
      <c r="X59" s="25">
        <f>V59*W59</f>
        <v>4.7295946018352112E-8</v>
      </c>
      <c r="Y59" s="25">
        <v>2.4845850521426627E-7</v>
      </c>
      <c r="Z59" s="25">
        <f xml:space="preserve"> V59 * Y59</f>
        <v>1.7011685376736009E-10</v>
      </c>
      <c r="AA59" s="25">
        <v>4.7663132329844871E-9</v>
      </c>
      <c r="AB59" s="26">
        <f xml:space="preserve"> V59 * AA59</f>
        <v>3.2634431675655841E-12</v>
      </c>
      <c r="AE59" s="40"/>
      <c r="AF59" s="72"/>
      <c r="AG59" s="48"/>
      <c r="AH59" s="71"/>
      <c r="AI59" s="71"/>
      <c r="AJ59" s="71"/>
      <c r="AK59" s="71"/>
      <c r="AL59" s="71"/>
      <c r="AM59" s="71"/>
      <c r="AN59" s="71"/>
      <c r="AO59" s="8"/>
      <c r="AP59" s="56"/>
    </row>
    <row r="60" spans="1:42" x14ac:dyDescent="0.35">
      <c r="A60" s="14">
        <v>6.2</v>
      </c>
      <c r="B60" s="8">
        <v>3</v>
      </c>
      <c r="C60" s="8">
        <f>SUM(B60:B68)</f>
        <v>7</v>
      </c>
      <c r="D60" s="25">
        <f t="shared" si="17"/>
        <v>2.8301886792452831E-2</v>
      </c>
      <c r="E60" s="25">
        <f t="shared" si="18"/>
        <v>-1.5481846105451078</v>
      </c>
      <c r="F60" s="25"/>
      <c r="G60" s="107"/>
      <c r="H60" s="110"/>
      <c r="S60" s="59">
        <v>6</v>
      </c>
      <c r="T60" s="8">
        <v>6.4</v>
      </c>
      <c r="U60" s="48">
        <f t="shared" si="19"/>
        <v>6.2</v>
      </c>
      <c r="V60" s="25">
        <f>G58</f>
        <v>2.1907532970179085E-4</v>
      </c>
      <c r="W60" s="25">
        <v>1.1143099821732116E-3</v>
      </c>
      <c r="X60" s="25">
        <f>V60*W60</f>
        <v>2.4411782673459302E-7</v>
      </c>
      <c r="Y60" s="25">
        <v>9.6002549605511689E-6</v>
      </c>
      <c r="Z60" s="25">
        <f xml:space="preserve"> V60 * Y60</f>
        <v>2.1031790207040005E-9</v>
      </c>
      <c r="AA60" s="25">
        <v>3.0927603511532453E-7</v>
      </c>
      <c r="AB60" s="26">
        <f xml:space="preserve"> V60 * AA60</f>
        <v>6.7754749361752364E-11</v>
      </c>
      <c r="AE60" s="40"/>
      <c r="AF60" s="72"/>
      <c r="AG60" s="48"/>
      <c r="AH60" s="71"/>
      <c r="AI60" s="71"/>
      <c r="AJ60" s="71"/>
      <c r="AK60" s="71"/>
      <c r="AL60" s="71"/>
      <c r="AM60" s="71"/>
      <c r="AN60" s="71"/>
      <c r="AO60" s="8"/>
      <c r="AP60" s="56"/>
    </row>
    <row r="61" spans="1:42" x14ac:dyDescent="0.35">
      <c r="A61" s="13">
        <v>6.3</v>
      </c>
      <c r="B61" s="8">
        <v>1</v>
      </c>
      <c r="C61" s="8">
        <f>SUM(B61:B68)</f>
        <v>4</v>
      </c>
      <c r="D61" s="25">
        <f t="shared" si="17"/>
        <v>9.433962264150943E-3</v>
      </c>
      <c r="E61" s="25">
        <f t="shared" si="18"/>
        <v>-2.0253058652647704</v>
      </c>
      <c r="F61" s="25"/>
      <c r="G61" s="107"/>
      <c r="H61" s="110"/>
      <c r="S61" s="60">
        <v>6.5</v>
      </c>
      <c r="T61" s="4">
        <v>6.6</v>
      </c>
      <c r="U61" s="52">
        <f t="shared" si="19"/>
        <v>6.55</v>
      </c>
      <c r="V61" s="53">
        <f>G63</f>
        <v>2.3883985820932104E-5</v>
      </c>
      <c r="W61" s="53">
        <v>5.6952183033928128E-3</v>
      </c>
      <c r="X61" s="53">
        <f>V61*W61</f>
        <v>1.3602451320534692E-7</v>
      </c>
      <c r="Y61" s="53">
        <v>8.9647177523799471E-5</v>
      </c>
      <c r="Z61" s="53">
        <f xml:space="preserve"> V61 * Y61</f>
        <v>2.1411319168650098E-9</v>
      </c>
      <c r="AA61" s="53">
        <v>4.1387726369412903E-6</v>
      </c>
      <c r="AB61" s="54">
        <f xml:space="preserve"> V61 * AA61</f>
        <v>9.8850386976767557E-11</v>
      </c>
      <c r="AE61" s="40"/>
      <c r="AF61" s="72"/>
      <c r="AG61" s="48"/>
      <c r="AH61" s="71"/>
      <c r="AI61" s="71"/>
      <c r="AJ61" s="71"/>
      <c r="AK61" s="71"/>
      <c r="AL61" s="71"/>
      <c r="AM61" s="71"/>
      <c r="AN61" s="71"/>
      <c r="AO61" s="8"/>
      <c r="AP61" s="56"/>
    </row>
    <row r="62" spans="1:42" x14ac:dyDescent="0.35">
      <c r="A62" s="14">
        <v>6.4</v>
      </c>
      <c r="B62" s="8">
        <v>2</v>
      </c>
      <c r="C62" s="8">
        <f>SUM(B62:B68)</f>
        <v>3</v>
      </c>
      <c r="D62" s="25">
        <f t="shared" si="17"/>
        <v>1.8867924528301886E-2</v>
      </c>
      <c r="E62" s="25">
        <f t="shared" si="18"/>
        <v>-1.7242758696007892</v>
      </c>
      <c r="F62" s="25">
        <f>(10^(4.5279-0.9898*6.4))/106</f>
        <v>1.471885865300609E-4</v>
      </c>
      <c r="G62" s="107"/>
      <c r="H62" s="110"/>
      <c r="S62" s="114" t="s">
        <v>39</v>
      </c>
      <c r="T62" s="115"/>
      <c r="U62" s="115"/>
      <c r="V62" s="25"/>
      <c r="W62" s="25"/>
      <c r="X62" s="85">
        <f>SUM(X58:X61)</f>
        <v>4.3278363200319658E-7</v>
      </c>
      <c r="Y62" s="85"/>
      <c r="Z62" s="85">
        <f>SUM(Z58:Z61)</f>
        <v>4.4223726277537752E-9</v>
      </c>
      <c r="AA62" s="85"/>
      <c r="AB62" s="85">
        <f>SUM(AB58:AB61)</f>
        <v>1.6995899808008541E-10</v>
      </c>
      <c r="AE62" s="77"/>
      <c r="AF62" s="77"/>
      <c r="AG62" s="77"/>
      <c r="AH62" s="71"/>
      <c r="AI62" s="71"/>
      <c r="AJ62" s="71"/>
      <c r="AK62" s="71"/>
      <c r="AL62" s="71"/>
      <c r="AM62" s="71"/>
      <c r="AN62" s="71"/>
      <c r="AO62" s="8"/>
      <c r="AP62" s="56"/>
    </row>
    <row r="63" spans="1:42" x14ac:dyDescent="0.35">
      <c r="A63" s="13">
        <v>6.4999999999999902</v>
      </c>
      <c r="B63" s="8">
        <v>0</v>
      </c>
      <c r="C63" s="8">
        <f>SUM(B63:B68)</f>
        <v>1</v>
      </c>
      <c r="D63" s="25"/>
      <c r="E63" s="25"/>
      <c r="F63" s="25">
        <f>(10^(4.5279-0.9898*6.5))/106</f>
        <v>1.1719096615978605E-4</v>
      </c>
      <c r="G63" s="107">
        <f>F63-F64</f>
        <v>2.3883985820932104E-5</v>
      </c>
      <c r="H63" s="110">
        <f>G63/F48</f>
        <v>6.6759437683611414E-3</v>
      </c>
      <c r="S63" s="63" t="s">
        <v>40</v>
      </c>
      <c r="T63" s="62"/>
      <c r="U63" s="62"/>
      <c r="V63" s="119">
        <f>X62+Z62+AB62</f>
        <v>4.3737596362903042E-7</v>
      </c>
      <c r="W63" s="119"/>
      <c r="X63" s="119"/>
      <c r="Y63" s="119"/>
      <c r="Z63" s="119"/>
      <c r="AA63" s="119"/>
      <c r="AB63" s="119"/>
      <c r="AE63" s="70"/>
      <c r="AF63" s="70"/>
      <c r="AG63" s="70"/>
      <c r="AH63" s="78"/>
      <c r="AI63" s="78"/>
      <c r="AJ63" s="78"/>
      <c r="AK63" s="78"/>
      <c r="AL63" s="78"/>
      <c r="AM63" s="78"/>
      <c r="AN63" s="78"/>
      <c r="AO63" s="8"/>
      <c r="AP63" s="56"/>
    </row>
    <row r="64" spans="1:42" x14ac:dyDescent="0.35">
      <c r="A64" s="14">
        <v>6.5999999999999899</v>
      </c>
      <c r="B64" s="8">
        <v>1</v>
      </c>
      <c r="C64" s="8">
        <f>SUM(B64:B68)</f>
        <v>1</v>
      </c>
      <c r="D64" s="25">
        <f t="shared" ref="D64" si="20">B64/106</f>
        <v>9.433962264150943E-3</v>
      </c>
      <c r="E64" s="25">
        <f t="shared" ref="E64" si="21">LOG10(D64)</f>
        <v>-2.0253058652647704</v>
      </c>
      <c r="F64" s="25">
        <f>(10^(4.5279-0.9898*6.6))/106</f>
        <v>9.330698033885395E-5</v>
      </c>
      <c r="G64" s="107"/>
      <c r="H64" s="110"/>
      <c r="S64" s="64"/>
      <c r="T64" s="25"/>
      <c r="U64" s="25"/>
      <c r="V64" s="25"/>
      <c r="W64" s="25"/>
      <c r="X64" s="25"/>
      <c r="Y64" s="25"/>
      <c r="Z64" s="25"/>
      <c r="AA64" s="25"/>
      <c r="AB64" s="8"/>
      <c r="AE64" s="19"/>
      <c r="AF64" s="71"/>
      <c r="AG64" s="71"/>
      <c r="AH64" s="71"/>
      <c r="AI64" s="71"/>
      <c r="AJ64" s="71"/>
      <c r="AK64" s="71"/>
      <c r="AL64" s="71"/>
      <c r="AM64" s="71"/>
      <c r="AN64" s="72"/>
      <c r="AO64" s="8"/>
      <c r="AP64" s="56"/>
    </row>
    <row r="65" spans="1:42" x14ac:dyDescent="0.35">
      <c r="A65" s="13">
        <v>6.6999999999999904</v>
      </c>
      <c r="B65" s="8">
        <v>0</v>
      </c>
      <c r="C65" s="8"/>
      <c r="D65" s="25"/>
      <c r="E65" s="25"/>
      <c r="F65" s="25"/>
      <c r="G65" s="17"/>
      <c r="H65" s="18"/>
      <c r="S65" s="55"/>
      <c r="T65" s="25"/>
      <c r="U65" s="25"/>
      <c r="V65" s="25"/>
      <c r="W65" s="25"/>
      <c r="X65" s="25"/>
      <c r="Y65" s="25"/>
      <c r="Z65" s="25"/>
      <c r="AA65" s="25"/>
      <c r="AB65" s="8"/>
      <c r="AE65" s="72"/>
      <c r="AF65" s="71"/>
      <c r="AG65" s="71"/>
      <c r="AH65" s="71"/>
      <c r="AI65" s="71"/>
      <c r="AJ65" s="71"/>
      <c r="AK65" s="71"/>
      <c r="AL65" s="71"/>
      <c r="AM65" s="71"/>
      <c r="AN65" s="72"/>
      <c r="AO65" s="8"/>
      <c r="AP65" s="56"/>
    </row>
    <row r="66" spans="1:42" x14ac:dyDescent="0.35">
      <c r="A66" s="14">
        <v>6.7999999999999901</v>
      </c>
      <c r="B66" s="8">
        <v>0</v>
      </c>
      <c r="C66" s="8"/>
      <c r="D66" s="8"/>
      <c r="E66" s="8"/>
      <c r="F66" s="8"/>
      <c r="G66" s="8"/>
      <c r="H66" s="15"/>
      <c r="S66" s="105" t="s">
        <v>41</v>
      </c>
      <c r="T66" s="106"/>
      <c r="U66" s="106"/>
      <c r="V66" s="107">
        <f>X52+X62</f>
        <v>1.8186099433789579E-4</v>
      </c>
      <c r="W66" s="107"/>
      <c r="X66" s="107"/>
      <c r="Y66" s="107"/>
      <c r="Z66" s="107"/>
      <c r="AA66" s="107"/>
      <c r="AB66" s="107"/>
      <c r="AE66" s="87"/>
      <c r="AF66" s="87"/>
      <c r="AG66" s="87"/>
      <c r="AH66" s="17"/>
      <c r="AI66" s="17"/>
      <c r="AJ66" s="17"/>
      <c r="AK66" s="17"/>
      <c r="AL66" s="17"/>
      <c r="AM66" s="17"/>
      <c r="AN66" s="17"/>
      <c r="AO66" s="8"/>
      <c r="AP66" s="56"/>
    </row>
    <row r="67" spans="1:42" x14ac:dyDescent="0.35">
      <c r="A67" s="13">
        <v>6.8999999999999897</v>
      </c>
      <c r="B67" s="8">
        <v>0</v>
      </c>
      <c r="C67" s="8"/>
      <c r="D67" s="8"/>
      <c r="E67" s="8"/>
      <c r="F67" s="8"/>
      <c r="G67" s="8"/>
      <c r="H67" s="15"/>
      <c r="S67" s="108" t="s">
        <v>42</v>
      </c>
      <c r="T67" s="103"/>
      <c r="U67" s="103"/>
      <c r="V67" s="107">
        <f>Z52+Z62</f>
        <v>2.5312395683400861E-5</v>
      </c>
      <c r="W67" s="109"/>
      <c r="X67" s="109"/>
      <c r="Y67" s="109"/>
      <c r="Z67" s="109"/>
      <c r="AA67" s="109"/>
      <c r="AB67" s="109"/>
      <c r="AE67" s="21"/>
      <c r="AF67" s="21"/>
      <c r="AG67" s="21"/>
      <c r="AH67" s="17"/>
      <c r="AI67" s="86"/>
      <c r="AJ67" s="86"/>
      <c r="AK67" s="86"/>
      <c r="AL67" s="86"/>
      <c r="AM67" s="86"/>
      <c r="AN67" s="86"/>
      <c r="AO67" s="8"/>
      <c r="AP67" s="56"/>
    </row>
    <row r="68" spans="1:42" x14ac:dyDescent="0.35">
      <c r="A68" s="16">
        <v>6.9999999999999902</v>
      </c>
      <c r="B68" s="4">
        <v>0</v>
      </c>
      <c r="C68" s="4"/>
      <c r="D68" s="4"/>
      <c r="E68" s="4"/>
      <c r="F68" s="4"/>
      <c r="G68" s="4"/>
      <c r="H68" s="9"/>
      <c r="S68" s="108" t="s">
        <v>43</v>
      </c>
      <c r="T68" s="103"/>
      <c r="U68" s="103"/>
      <c r="V68" s="107">
        <f>AB52+AB62</f>
        <v>6.028918167569364E-6</v>
      </c>
      <c r="W68" s="109"/>
      <c r="X68" s="109"/>
      <c r="Y68" s="109"/>
      <c r="Z68" s="109"/>
      <c r="AA68" s="109"/>
      <c r="AB68" s="109"/>
      <c r="AE68" s="21"/>
      <c r="AF68" s="21"/>
      <c r="AG68" s="21"/>
      <c r="AH68" s="17"/>
      <c r="AI68" s="86"/>
      <c r="AJ68" s="86"/>
      <c r="AK68" s="86"/>
      <c r="AL68" s="86"/>
      <c r="AM68" s="86"/>
      <c r="AN68" s="86"/>
      <c r="AO68" s="8"/>
      <c r="AP68" s="56"/>
    </row>
    <row r="69" spans="1:42" s="27" customFormat="1" x14ac:dyDescent="0.35">
      <c r="A69" s="19"/>
      <c r="B69" s="95"/>
      <c r="C69" s="95"/>
      <c r="D69" s="95"/>
      <c r="E69" s="95"/>
      <c r="F69" s="95"/>
      <c r="G69" s="95"/>
      <c r="H69" s="95"/>
      <c r="S69" s="93" t="s">
        <v>58</v>
      </c>
      <c r="T69" s="94"/>
      <c r="U69" s="94"/>
      <c r="V69" s="92"/>
      <c r="W69" s="95"/>
      <c r="X69" s="95"/>
      <c r="Y69" s="92">
        <f>SUM(V66:AB68)</f>
        <v>2.1320230818886601E-4</v>
      </c>
      <c r="Z69" s="95"/>
      <c r="AA69" s="95"/>
      <c r="AB69" s="95"/>
      <c r="AE69" s="21"/>
      <c r="AF69" s="21"/>
      <c r="AG69" s="21"/>
      <c r="AH69" s="17"/>
      <c r="AI69" s="86"/>
      <c r="AJ69" s="86"/>
      <c r="AK69" s="86"/>
      <c r="AL69" s="86"/>
      <c r="AM69" s="86"/>
      <c r="AN69" s="86"/>
      <c r="AO69" s="95"/>
      <c r="AP69" s="56"/>
    </row>
    <row r="70" spans="1:42" x14ac:dyDescent="0.35">
      <c r="S70" s="61"/>
      <c r="T70" s="68"/>
      <c r="U70" s="68"/>
      <c r="V70" s="8"/>
      <c r="W70" s="8"/>
      <c r="X70" s="8"/>
      <c r="Y70" s="8"/>
      <c r="Z70" s="8"/>
      <c r="AA70" s="8"/>
      <c r="AB70" s="8"/>
      <c r="AE70" s="68"/>
      <c r="AF70" s="68"/>
      <c r="AG70" s="68"/>
      <c r="AH70" s="72"/>
      <c r="AI70" s="72"/>
      <c r="AJ70" s="72"/>
      <c r="AK70" s="72"/>
      <c r="AL70" s="72"/>
      <c r="AM70" s="72"/>
      <c r="AN70" s="72"/>
      <c r="AO70" s="8"/>
      <c r="AP70" s="56"/>
    </row>
    <row r="71" spans="1:42" x14ac:dyDescent="0.35">
      <c r="S71" s="103" t="s">
        <v>44</v>
      </c>
      <c r="T71" s="103"/>
      <c r="U71" s="103"/>
      <c r="V71" s="104">
        <f>1/V66</f>
        <v>5498.7052261575709</v>
      </c>
      <c r="W71" s="104"/>
      <c r="X71" s="104"/>
      <c r="Y71" s="104"/>
      <c r="Z71" s="104"/>
      <c r="AA71" s="104"/>
      <c r="AB71" s="104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8"/>
      <c r="AP71" s="8"/>
    </row>
    <row r="72" spans="1:42" x14ac:dyDescent="0.35">
      <c r="S72" s="103" t="s">
        <v>45</v>
      </c>
      <c r="T72" s="103"/>
      <c r="U72" s="103"/>
      <c r="V72" s="101">
        <f>1/V67</f>
        <v>39506.335651025365</v>
      </c>
      <c r="W72" s="101"/>
      <c r="X72" s="101"/>
      <c r="Y72" s="101"/>
      <c r="Z72" s="101"/>
      <c r="AA72" s="101"/>
      <c r="AB72" s="101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8"/>
      <c r="AP72" s="8"/>
    </row>
    <row r="73" spans="1:42" x14ac:dyDescent="0.35">
      <c r="S73" s="103" t="s">
        <v>46</v>
      </c>
      <c r="T73" s="103"/>
      <c r="U73" s="103"/>
      <c r="V73" s="101">
        <f>1/V68</f>
        <v>165867.23723987167</v>
      </c>
      <c r="W73" s="101"/>
      <c r="X73" s="101"/>
      <c r="Y73" s="101"/>
      <c r="Z73" s="101"/>
      <c r="AA73" s="101"/>
      <c r="AB73" s="101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spans="1:42" x14ac:dyDescent="0.35"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spans="1:42" x14ac:dyDescent="0.35">
      <c r="S75" s="102" t="s">
        <v>47</v>
      </c>
      <c r="T75" s="102"/>
      <c r="U75" s="102"/>
      <c r="V75" s="101">
        <f>1 - EXP(-V66*50)</f>
        <v>9.0518329635879136E-3</v>
      </c>
      <c r="W75" s="101"/>
      <c r="X75" s="101"/>
      <c r="Y75" s="101"/>
      <c r="Z75" s="101"/>
      <c r="AA75" s="101"/>
      <c r="AB75" s="101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spans="1:42" x14ac:dyDescent="0.35">
      <c r="S76" s="102" t="s">
        <v>48</v>
      </c>
      <c r="T76" s="102"/>
      <c r="U76" s="102"/>
      <c r="V76" s="101">
        <f>1 - EXP(-V67*50)</f>
        <v>1.2648192252210366E-3</v>
      </c>
      <c r="W76" s="101"/>
      <c r="X76" s="101"/>
      <c r="Y76" s="101"/>
      <c r="Z76" s="101"/>
      <c r="AA76" s="101"/>
      <c r="AB76" s="101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spans="1:42" x14ac:dyDescent="0.35">
      <c r="S77" s="102" t="s">
        <v>49</v>
      </c>
      <c r="T77" s="102"/>
      <c r="U77" s="102"/>
      <c r="V77" s="101">
        <f>1 - EXP(-V68*50)</f>
        <v>3.014004781256574E-4</v>
      </c>
      <c r="W77" s="101"/>
      <c r="X77" s="101"/>
      <c r="Y77" s="101"/>
      <c r="Z77" s="101"/>
      <c r="AA77" s="101"/>
      <c r="AB77" s="101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spans="1:42" x14ac:dyDescent="0.35"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spans="1:42" x14ac:dyDescent="0.35"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spans="1:42" x14ac:dyDescent="0.35"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spans="31:40" x14ac:dyDescent="0.35"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</sheetData>
  <mergeCells count="49">
    <mergeCell ref="AF2:AI2"/>
    <mergeCell ref="AF8:AI8"/>
    <mergeCell ref="AF14:AI14"/>
    <mergeCell ref="G15:G19"/>
    <mergeCell ref="G20:G22"/>
    <mergeCell ref="H5:H9"/>
    <mergeCell ref="H10:H14"/>
    <mergeCell ref="H15:H19"/>
    <mergeCell ref="H20:H22"/>
    <mergeCell ref="S2:AD2"/>
    <mergeCell ref="S10:AD10"/>
    <mergeCell ref="A3:H3"/>
    <mergeCell ref="G5:G9"/>
    <mergeCell ref="G10:G14"/>
    <mergeCell ref="AF22:AI22"/>
    <mergeCell ref="G58:G62"/>
    <mergeCell ref="H58:H62"/>
    <mergeCell ref="G63:G64"/>
    <mergeCell ref="H63:H64"/>
    <mergeCell ref="S46:AB46"/>
    <mergeCell ref="S52:U52"/>
    <mergeCell ref="S53:U53"/>
    <mergeCell ref="A46:H46"/>
    <mergeCell ref="G48:G52"/>
    <mergeCell ref="H48:H52"/>
    <mergeCell ref="G53:G57"/>
    <mergeCell ref="H53:H57"/>
    <mergeCell ref="V53:AB53"/>
    <mergeCell ref="S56:AB56"/>
    <mergeCell ref="S62:U62"/>
    <mergeCell ref="V63:AB63"/>
    <mergeCell ref="S66:U66"/>
    <mergeCell ref="V66:AB66"/>
    <mergeCell ref="S67:U67"/>
    <mergeCell ref="V67:AB67"/>
    <mergeCell ref="S68:U68"/>
    <mergeCell ref="V68:AB68"/>
    <mergeCell ref="S71:U71"/>
    <mergeCell ref="V71:AB71"/>
    <mergeCell ref="S72:U72"/>
    <mergeCell ref="S73:U73"/>
    <mergeCell ref="V73:AB73"/>
    <mergeCell ref="V72:AB72"/>
    <mergeCell ref="V77:AB77"/>
    <mergeCell ref="V76:AB76"/>
    <mergeCell ref="V75:AB75"/>
    <mergeCell ref="S77:U77"/>
    <mergeCell ref="S76:U76"/>
    <mergeCell ref="S75:U75"/>
  </mergeCells>
  <pageMargins left="0.7" right="0.7" top="0.75" bottom="0.75" header="0.3" footer="0.3"/>
  <pageSetup scale="69" orientation="portrait" r:id="rId1"/>
  <rowBreaks count="2" manualBreakCount="2">
    <brk id="43" max="37" man="1"/>
    <brk id="97" max="29" man="1"/>
  </rowBreaks>
  <colBreaks count="3" manualBreakCount="3">
    <brk id="9" max="89" man="1"/>
    <brk id="18" max="89" man="1"/>
    <brk id="31" max="89" man="1"/>
  </colBreaks>
  <ignoredErrors>
    <ignoredError sqref="C6:C2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Azimi</dc:creator>
  <cp:lastModifiedBy>Ali Azimi</cp:lastModifiedBy>
  <cp:lastPrinted>2025-09-26T02:52:34Z</cp:lastPrinted>
  <dcterms:created xsi:type="dcterms:W3CDTF">2025-09-24T03:33:54Z</dcterms:created>
  <dcterms:modified xsi:type="dcterms:W3CDTF">2025-09-27T22:46:30Z</dcterms:modified>
</cp:coreProperties>
</file>