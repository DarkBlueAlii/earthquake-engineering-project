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 1\"/>
    </mc:Choice>
  </mc:AlternateContent>
  <xr:revisionPtr revIDLastSave="0" documentId="13_ncr:1_{9194E5F1-E162-4BB3-A8A2-60A2CD594587}" xr6:coauthVersionLast="47" xr6:coauthVersionMax="47" xr10:uidLastSave="{00000000-0000-0000-0000-000000000000}"/>
  <bookViews>
    <workbookView xWindow="-110" yWindow="-110" windowWidth="25820" windowHeight="13900" xr2:uid="{7FA52394-6EF4-40F4-846B-2E3CD2807DBC}"/>
  </bookViews>
  <sheets>
    <sheet name="Displacement" sheetId="1" r:id="rId1"/>
    <sheet name="Story Drift" sheetId="2" r:id="rId2"/>
    <sheet name="Base Shear" sheetId="3" r:id="rId3"/>
    <sheet name="Peak |acceleration|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" l="1"/>
  <c r="I10" i="4"/>
  <c r="Q10" i="4"/>
  <c r="V10" i="4"/>
  <c r="U10" i="4"/>
  <c r="T10" i="4"/>
  <c r="S10" i="4"/>
  <c r="R10" i="4"/>
  <c r="P10" i="4"/>
  <c r="O10" i="4"/>
  <c r="N10" i="4"/>
  <c r="M10" i="4"/>
  <c r="L10" i="4"/>
  <c r="K10" i="4"/>
  <c r="H10" i="4"/>
  <c r="G10" i="4"/>
  <c r="F10" i="4"/>
  <c r="E10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H9" i="3"/>
  <c r="G9" i="3"/>
  <c r="F9" i="3"/>
  <c r="E9" i="3"/>
  <c r="D9" i="3"/>
  <c r="C9" i="3"/>
  <c r="H8" i="3"/>
  <c r="G8" i="3"/>
  <c r="F8" i="3"/>
  <c r="E8" i="3"/>
  <c r="D8" i="3"/>
  <c r="C8" i="3"/>
  <c r="F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E10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V10" i="1"/>
  <c r="V9" i="1"/>
  <c r="U10" i="1"/>
  <c r="U9" i="1"/>
  <c r="T10" i="1"/>
  <c r="T9" i="1"/>
  <c r="S10" i="1"/>
  <c r="S9" i="1"/>
  <c r="R10" i="1"/>
  <c r="R9" i="1"/>
  <c r="Q10" i="1"/>
  <c r="Q9" i="1"/>
  <c r="P10" i="1"/>
  <c r="P9" i="1"/>
  <c r="O10" i="1"/>
  <c r="O9" i="1"/>
  <c r="N10" i="1"/>
  <c r="N9" i="1"/>
  <c r="M10" i="1"/>
  <c r="M9" i="1"/>
  <c r="L10" i="1"/>
  <c r="L9" i="1"/>
  <c r="J10" i="1"/>
  <c r="I10" i="1"/>
  <c r="H10" i="1"/>
  <c r="J9" i="1"/>
  <c r="I9" i="1"/>
  <c r="H9" i="1"/>
  <c r="K10" i="1"/>
  <c r="K9" i="1"/>
  <c r="F9" i="1"/>
  <c r="F10" i="1"/>
  <c r="G10" i="1"/>
  <c r="G9" i="1"/>
  <c r="E10" i="1"/>
  <c r="E9" i="1"/>
</calcChain>
</file>

<file path=xl/sharedStrings.xml><?xml version="1.0" encoding="utf-8"?>
<sst xmlns="http://schemas.openxmlformats.org/spreadsheetml/2006/main" count="186" uniqueCount="26">
  <si>
    <t>Baseline</t>
  </si>
  <si>
    <t>C=600</t>
  </si>
  <si>
    <t>C=1200</t>
  </si>
  <si>
    <t>C=1800</t>
  </si>
  <si>
    <t>Lomap</t>
  </si>
  <si>
    <t>NorthR</t>
  </si>
  <si>
    <t>Story 1</t>
  </si>
  <si>
    <t>Story 2</t>
  </si>
  <si>
    <t>Story 3</t>
  </si>
  <si>
    <t>Loma Prieta</t>
  </si>
  <si>
    <t>Northridge</t>
  </si>
  <si>
    <t xml:space="preserve">Baseline </t>
  </si>
  <si>
    <t>C=600 kN-s/m</t>
  </si>
  <si>
    <t>C=1200 kN-s/m</t>
  </si>
  <si>
    <t>C=1800 kN-s/m</t>
  </si>
  <si>
    <t>(mm)</t>
  </si>
  <si>
    <t>1 Big Damper (mm)</t>
  </si>
  <si>
    <t>3 Small Dampers (mm)</t>
  </si>
  <si>
    <t>Base Shear</t>
  </si>
  <si>
    <t>Reduction (%)</t>
  </si>
  <si>
    <t>1 Big Damper (kN)</t>
  </si>
  <si>
    <t>3 Small Dampers (kN)</t>
  </si>
  <si>
    <t>Reduction %</t>
  </si>
  <si>
    <t>1 Big Damper (Peak Floor Acc (m/s²)</t>
  </si>
  <si>
    <t>3 Small Dampers (Peak Floor Acc (m/s²)</t>
  </si>
  <si>
    <t>Baseline (Peak Floor Acc (m/s²)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</si>
</sst>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2" fontId="0" fillId="9" borderId="7" xfId="0" applyNumberFormat="1" applyFill="1" applyBorder="1" applyAlignment="1">
      <alignment horizontal="center" vertical="center"/>
    </xf>
    <xf numFmtId="2" fontId="0" fillId="9" borderId="8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2" fontId="0" fillId="9" borderId="2" xfId="0" applyNumberFormat="1" applyFill="1" applyBorder="1" applyAlignment="1">
      <alignment horizontal="center" vertical="center"/>
    </xf>
    <xf numFmtId="2" fontId="0" fillId="9" borderId="3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2" fontId="0" fillId="8" borderId="8" xfId="0" applyNumberFormat="1" applyFill="1" applyBorder="1" applyAlignment="1">
      <alignment horizontal="center" vertical="center"/>
    </xf>
    <xf numFmtId="2" fontId="0" fillId="8" borderId="2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0" fillId="4" borderId="10" xfId="0" applyNumberForma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2" fontId="0" fillId="6" borderId="11" xfId="0" applyNumberFormat="1" applyFill="1" applyBorder="1" applyAlignment="1">
      <alignment horizontal="center" vertical="center"/>
    </xf>
    <xf numFmtId="2" fontId="0" fillId="7" borderId="10" xfId="0" applyNumberFormat="1" applyFill="1" applyBorder="1" applyAlignment="1">
      <alignment horizontal="center" vertical="center"/>
    </xf>
    <xf numFmtId="2" fontId="0" fillId="7" borderId="11" xfId="0" applyNumberForma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48C4-CB86-46C9-8443-DA33E041D80D}">
  <dimension ref="A1:Z10"/>
  <sheetViews>
    <sheetView tabSelected="1" zoomScale="110" zoomScaleNormal="110" workbookViewId="0">
      <selection activeCell="F15" sqref="F15"/>
    </sheetView>
  </sheetViews>
  <sheetFormatPr defaultRowHeight="14.5" x14ac:dyDescent="0.35"/>
  <cols>
    <col min="1" max="1" width="11.81640625" style="1" customWidth="1"/>
    <col min="2" max="16384" width="8.7265625" style="1"/>
  </cols>
  <sheetData>
    <row r="1" spans="1:26" x14ac:dyDescent="0.35">
      <c r="A1" s="157"/>
      <c r="B1" s="103" t="s">
        <v>0</v>
      </c>
      <c r="C1" s="103"/>
      <c r="D1" s="103"/>
      <c r="E1" s="105" t="s">
        <v>1</v>
      </c>
      <c r="F1" s="106"/>
      <c r="G1" s="106"/>
      <c r="H1" s="106"/>
      <c r="I1" s="106"/>
      <c r="J1" s="107"/>
      <c r="K1" s="105" t="s">
        <v>2</v>
      </c>
      <c r="L1" s="106"/>
      <c r="M1" s="106"/>
      <c r="N1" s="106"/>
      <c r="O1" s="106"/>
      <c r="P1" s="107"/>
      <c r="Q1" s="105" t="s">
        <v>3</v>
      </c>
      <c r="R1" s="106"/>
      <c r="S1" s="106"/>
      <c r="T1" s="106"/>
      <c r="U1" s="106"/>
      <c r="V1" s="107"/>
      <c r="W1" s="104"/>
      <c r="X1" s="104"/>
      <c r="Y1" s="104"/>
      <c r="Z1" s="104"/>
    </row>
    <row r="2" spans="1:26" x14ac:dyDescent="0.35">
      <c r="A2" s="157"/>
      <c r="B2" s="110" t="s">
        <v>15</v>
      </c>
      <c r="C2" s="111"/>
      <c r="D2" s="112"/>
      <c r="E2" s="108" t="s">
        <v>16</v>
      </c>
      <c r="F2" s="108"/>
      <c r="G2" s="109"/>
      <c r="H2" s="130" t="s">
        <v>17</v>
      </c>
      <c r="I2" s="131"/>
      <c r="J2" s="132"/>
      <c r="K2" s="127" t="s">
        <v>16</v>
      </c>
      <c r="L2" s="128"/>
      <c r="M2" s="129"/>
      <c r="N2" s="124" t="s">
        <v>17</v>
      </c>
      <c r="O2" s="125"/>
      <c r="P2" s="126"/>
      <c r="Q2" s="122" t="s">
        <v>16</v>
      </c>
      <c r="R2" s="123"/>
      <c r="S2" s="123"/>
      <c r="T2" s="119" t="s">
        <v>17</v>
      </c>
      <c r="U2" s="120"/>
      <c r="V2" s="121"/>
    </row>
    <row r="3" spans="1:26" x14ac:dyDescent="0.35">
      <c r="A3" s="158"/>
      <c r="B3" s="6" t="s">
        <v>6</v>
      </c>
      <c r="C3" s="7" t="s">
        <v>7</v>
      </c>
      <c r="D3" s="8" t="s">
        <v>8</v>
      </c>
      <c r="E3" s="9" t="s">
        <v>6</v>
      </c>
      <c r="F3" s="9" t="s">
        <v>7</v>
      </c>
      <c r="G3" s="9" t="s">
        <v>8</v>
      </c>
      <c r="H3" s="15" t="s">
        <v>6</v>
      </c>
      <c r="I3" s="16" t="s">
        <v>7</v>
      </c>
      <c r="J3" s="16" t="s">
        <v>8</v>
      </c>
      <c r="K3" s="21" t="s">
        <v>6</v>
      </c>
      <c r="L3" s="22" t="s">
        <v>7</v>
      </c>
      <c r="M3" s="22" t="s">
        <v>8</v>
      </c>
      <c r="N3" s="27" t="s">
        <v>6</v>
      </c>
      <c r="O3" s="28" t="s">
        <v>7</v>
      </c>
      <c r="P3" s="28" t="s">
        <v>8</v>
      </c>
      <c r="Q3" s="39" t="s">
        <v>6</v>
      </c>
      <c r="R3" s="40" t="s">
        <v>7</v>
      </c>
      <c r="S3" s="40" t="s">
        <v>8</v>
      </c>
      <c r="T3" s="33" t="s">
        <v>6</v>
      </c>
      <c r="U3" s="34" t="s">
        <v>7</v>
      </c>
      <c r="V3" s="35" t="s">
        <v>8</v>
      </c>
    </row>
    <row r="4" spans="1:26" x14ac:dyDescent="0.35">
      <c r="A4" s="2" t="s">
        <v>9</v>
      </c>
      <c r="B4" s="4">
        <v>0.77200000000000002</v>
      </c>
      <c r="C4" s="4">
        <v>1.4650000000000001</v>
      </c>
      <c r="D4" s="5">
        <v>1.7889999999999999</v>
      </c>
      <c r="E4" s="10">
        <v>0.64200000000000002</v>
      </c>
      <c r="F4" s="11">
        <v>1.1970000000000001</v>
      </c>
      <c r="G4" s="12">
        <v>1.4490000000000001</v>
      </c>
      <c r="H4" s="17">
        <v>0.64100000000000001</v>
      </c>
      <c r="I4" s="18">
        <v>1.194</v>
      </c>
      <c r="J4" s="19">
        <v>1.4450000000000001</v>
      </c>
      <c r="K4" s="23">
        <v>0.63900000000000001</v>
      </c>
      <c r="L4" s="24">
        <v>1.1910000000000001</v>
      </c>
      <c r="M4" s="25">
        <v>1.4419999999999999</v>
      </c>
      <c r="N4" s="29">
        <v>0.64100000000000001</v>
      </c>
      <c r="O4" s="30">
        <v>1.194</v>
      </c>
      <c r="P4" s="31">
        <v>1.4370000000000001</v>
      </c>
      <c r="Q4" s="41">
        <v>0.63100000000000001</v>
      </c>
      <c r="R4" s="42">
        <v>1.177</v>
      </c>
      <c r="S4" s="43">
        <v>1.4259999999999999</v>
      </c>
      <c r="T4" s="36">
        <v>0.63700000000000001</v>
      </c>
      <c r="U4" s="37">
        <v>1.1850000000000001</v>
      </c>
      <c r="V4" s="38">
        <v>1.4330000000000001</v>
      </c>
    </row>
    <row r="5" spans="1:26" x14ac:dyDescent="0.35">
      <c r="A5" s="3" t="s">
        <v>10</v>
      </c>
      <c r="B5" s="7">
        <v>1.345</v>
      </c>
      <c r="C5" s="7">
        <v>2.7149999999999999</v>
      </c>
      <c r="D5" s="8">
        <v>3.4140000000000001</v>
      </c>
      <c r="E5" s="13">
        <v>0.86799999999999999</v>
      </c>
      <c r="F5" s="9">
        <v>1.758</v>
      </c>
      <c r="G5" s="14">
        <v>2.214</v>
      </c>
      <c r="H5" s="15">
        <v>0.93</v>
      </c>
      <c r="I5" s="16">
        <v>1.891</v>
      </c>
      <c r="J5" s="20">
        <v>2.3759999999999999</v>
      </c>
      <c r="K5" s="21">
        <v>0.875</v>
      </c>
      <c r="L5" s="22">
        <v>1.667</v>
      </c>
      <c r="M5" s="26">
        <v>2.0379999999999998</v>
      </c>
      <c r="N5" s="27">
        <v>0.86399999999999999</v>
      </c>
      <c r="O5" s="28">
        <v>1.617</v>
      </c>
      <c r="P5" s="32">
        <v>1.9590000000000001</v>
      </c>
      <c r="Q5" s="39">
        <v>0.88</v>
      </c>
      <c r="R5" s="40">
        <v>1.68</v>
      </c>
      <c r="S5" s="44">
        <v>2.0550000000000002</v>
      </c>
      <c r="T5" s="33">
        <v>0.88200000000000001</v>
      </c>
      <c r="U5" s="34">
        <v>1.6539999999999999</v>
      </c>
      <c r="V5" s="35">
        <v>2.004</v>
      </c>
    </row>
    <row r="6" spans="1:26" x14ac:dyDescent="0.35">
      <c r="A6" s="54"/>
    </row>
    <row r="8" spans="1:26" x14ac:dyDescent="0.35">
      <c r="E8" s="51" t="s">
        <v>6</v>
      </c>
      <c r="F8" s="52" t="s">
        <v>7</v>
      </c>
      <c r="G8" s="52" t="s">
        <v>8</v>
      </c>
      <c r="H8" s="51" t="s">
        <v>6</v>
      </c>
      <c r="I8" s="52" t="s">
        <v>7</v>
      </c>
      <c r="J8" s="52" t="s">
        <v>8</v>
      </c>
      <c r="K8" s="51" t="s">
        <v>6</v>
      </c>
      <c r="L8" s="52" t="s">
        <v>7</v>
      </c>
      <c r="M8" s="52" t="s">
        <v>8</v>
      </c>
      <c r="N8" s="51" t="s">
        <v>6</v>
      </c>
      <c r="O8" s="52" t="s">
        <v>7</v>
      </c>
      <c r="P8" s="52" t="s">
        <v>8</v>
      </c>
      <c r="Q8" s="51" t="s">
        <v>6</v>
      </c>
      <c r="R8" s="52" t="s">
        <v>7</v>
      </c>
      <c r="S8" s="52" t="s">
        <v>8</v>
      </c>
      <c r="T8" s="51" t="s">
        <v>6</v>
      </c>
      <c r="U8" s="52" t="s">
        <v>7</v>
      </c>
      <c r="V8" s="53" t="s">
        <v>8</v>
      </c>
    </row>
    <row r="9" spans="1:26" ht="14.5" customHeight="1" x14ac:dyDescent="0.35">
      <c r="A9" s="113" t="s">
        <v>22</v>
      </c>
      <c r="B9" s="114"/>
      <c r="C9" s="115"/>
      <c r="D9" s="2" t="s">
        <v>4</v>
      </c>
      <c r="E9" s="45">
        <f t="shared" ref="E9:G10" si="0">((B4-E4)/B4)*100</f>
        <v>16.839378238341968</v>
      </c>
      <c r="F9" s="46">
        <f t="shared" si="0"/>
        <v>18.293515358361777</v>
      </c>
      <c r="G9" s="46">
        <f t="shared" si="0"/>
        <v>19.005030743432076</v>
      </c>
      <c r="H9" s="46">
        <f t="shared" ref="H9:J10" si="1">((B4-H4)/B4)*100</f>
        <v>16.968911917098445</v>
      </c>
      <c r="I9" s="46">
        <f t="shared" si="1"/>
        <v>18.49829351535837</v>
      </c>
      <c r="J9" s="46">
        <f t="shared" si="1"/>
        <v>19.228619340413633</v>
      </c>
      <c r="K9" s="46">
        <f t="shared" ref="K9:M10" si="2">((B4-K4)/B4)*100</f>
        <v>17.2279792746114</v>
      </c>
      <c r="L9" s="46">
        <f t="shared" si="2"/>
        <v>18.703071672354948</v>
      </c>
      <c r="M9" s="46">
        <f t="shared" si="2"/>
        <v>19.396310788149805</v>
      </c>
      <c r="N9" s="46">
        <f t="shared" ref="N9:P10" si="3">((B4-N4)/B4)*100</f>
        <v>16.968911917098445</v>
      </c>
      <c r="O9" s="46">
        <f t="shared" si="3"/>
        <v>18.49829351535837</v>
      </c>
      <c r="P9" s="46">
        <f t="shared" si="3"/>
        <v>19.67579653437674</v>
      </c>
      <c r="Q9" s="46">
        <f t="shared" ref="Q9:S10" si="4">((B4-Q4)/B4)*100</f>
        <v>18.264248704663213</v>
      </c>
      <c r="R9" s="46">
        <f t="shared" si="4"/>
        <v>19.658703071672356</v>
      </c>
      <c r="S9" s="46">
        <f t="shared" si="4"/>
        <v>20.290665176076018</v>
      </c>
      <c r="T9" s="46">
        <f t="shared" ref="T9:V10" si="5">((B4-T4)/B4)*100</f>
        <v>17.487046632124354</v>
      </c>
      <c r="U9" s="46">
        <f t="shared" si="5"/>
        <v>19.112627986348123</v>
      </c>
      <c r="V9" s="47">
        <f t="shared" si="5"/>
        <v>19.899385131358294</v>
      </c>
    </row>
    <row r="10" spans="1:26" ht="14.5" customHeight="1" x14ac:dyDescent="0.35">
      <c r="A10" s="116"/>
      <c r="B10" s="117"/>
      <c r="C10" s="118"/>
      <c r="D10" s="3" t="s">
        <v>5</v>
      </c>
      <c r="E10" s="48">
        <f t="shared" si="0"/>
        <v>35.464684014869889</v>
      </c>
      <c r="F10" s="49">
        <f t="shared" si="0"/>
        <v>35.248618784530386</v>
      </c>
      <c r="G10" s="49">
        <f t="shared" si="0"/>
        <v>35.149384885764498</v>
      </c>
      <c r="H10" s="49">
        <f t="shared" si="1"/>
        <v>30.85501858736059</v>
      </c>
      <c r="I10" s="49">
        <f t="shared" si="1"/>
        <v>30.34990791896869</v>
      </c>
      <c r="J10" s="49">
        <f t="shared" si="1"/>
        <v>30.404217926186298</v>
      </c>
      <c r="K10" s="49">
        <f t="shared" si="2"/>
        <v>34.944237918215613</v>
      </c>
      <c r="L10" s="49">
        <f t="shared" si="2"/>
        <v>38.600368324125228</v>
      </c>
      <c r="M10" s="49">
        <f t="shared" si="2"/>
        <v>40.3046280023433</v>
      </c>
      <c r="N10" s="49">
        <f t="shared" si="3"/>
        <v>35.762081784386616</v>
      </c>
      <c r="O10" s="49">
        <f t="shared" si="3"/>
        <v>40.44198895027624</v>
      </c>
      <c r="P10" s="49">
        <f t="shared" si="3"/>
        <v>42.618629173989454</v>
      </c>
      <c r="Q10" s="49">
        <f t="shared" si="4"/>
        <v>34.572490706319705</v>
      </c>
      <c r="R10" s="49">
        <f t="shared" si="4"/>
        <v>38.121546961325961</v>
      </c>
      <c r="S10" s="49">
        <f t="shared" si="4"/>
        <v>39.806678383128293</v>
      </c>
      <c r="T10" s="49">
        <f t="shared" si="5"/>
        <v>34.423791821561338</v>
      </c>
      <c r="U10" s="49">
        <f t="shared" si="5"/>
        <v>39.079189686924494</v>
      </c>
      <c r="V10" s="50">
        <f t="shared" si="5"/>
        <v>41.300527240773292</v>
      </c>
    </row>
  </sheetData>
  <mergeCells count="14">
    <mergeCell ref="E2:G2"/>
    <mergeCell ref="B2:D2"/>
    <mergeCell ref="A9:C10"/>
    <mergeCell ref="T2:V2"/>
    <mergeCell ref="Q2:S2"/>
    <mergeCell ref="N2:P2"/>
    <mergeCell ref="K2:M2"/>
    <mergeCell ref="H2:J2"/>
    <mergeCell ref="B1:D1"/>
    <mergeCell ref="Y1:Z1"/>
    <mergeCell ref="W1:X1"/>
    <mergeCell ref="E1:J1"/>
    <mergeCell ref="K1:P1"/>
    <mergeCell ref="Q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6CE3-928F-4B57-93C6-F1AA29A22D9E}">
  <dimension ref="A1:V10"/>
  <sheetViews>
    <sheetView zoomScale="110" zoomScaleNormal="110" workbookViewId="0">
      <selection activeCell="E19" sqref="E19"/>
    </sheetView>
  </sheetViews>
  <sheetFormatPr defaultRowHeight="14.5" x14ac:dyDescent="0.35"/>
  <cols>
    <col min="1" max="1" width="10.6328125" bestFit="1" customWidth="1"/>
  </cols>
  <sheetData>
    <row r="1" spans="1:22" x14ac:dyDescent="0.35">
      <c r="A1" s="157"/>
      <c r="B1" s="103" t="s">
        <v>11</v>
      </c>
      <c r="C1" s="103"/>
      <c r="D1" s="103"/>
      <c r="E1" s="105" t="s">
        <v>12</v>
      </c>
      <c r="F1" s="106"/>
      <c r="G1" s="106"/>
      <c r="H1" s="106"/>
      <c r="I1" s="106"/>
      <c r="J1" s="107"/>
      <c r="K1" s="105" t="s">
        <v>13</v>
      </c>
      <c r="L1" s="106"/>
      <c r="M1" s="106"/>
      <c r="N1" s="106"/>
      <c r="O1" s="106"/>
      <c r="P1" s="107"/>
      <c r="Q1" s="105" t="s">
        <v>14</v>
      </c>
      <c r="R1" s="106"/>
      <c r="S1" s="106"/>
      <c r="T1" s="106"/>
      <c r="U1" s="106"/>
      <c r="V1" s="107"/>
    </row>
    <row r="2" spans="1:22" x14ac:dyDescent="0.35">
      <c r="A2" s="157"/>
      <c r="B2" s="110" t="s">
        <v>15</v>
      </c>
      <c r="C2" s="111"/>
      <c r="D2" s="112"/>
      <c r="E2" s="108" t="s">
        <v>16</v>
      </c>
      <c r="F2" s="108"/>
      <c r="G2" s="109"/>
      <c r="H2" s="130" t="s">
        <v>17</v>
      </c>
      <c r="I2" s="131"/>
      <c r="J2" s="132"/>
      <c r="K2" s="127" t="s">
        <v>16</v>
      </c>
      <c r="L2" s="128"/>
      <c r="M2" s="129"/>
      <c r="N2" s="124" t="s">
        <v>17</v>
      </c>
      <c r="O2" s="125"/>
      <c r="P2" s="126"/>
      <c r="Q2" s="122" t="s">
        <v>16</v>
      </c>
      <c r="R2" s="123"/>
      <c r="S2" s="123"/>
      <c r="T2" s="119" t="s">
        <v>17</v>
      </c>
      <c r="U2" s="120"/>
      <c r="V2" s="121"/>
    </row>
    <row r="3" spans="1:22" x14ac:dyDescent="0.35">
      <c r="A3" s="158"/>
      <c r="B3" s="6" t="s">
        <v>6</v>
      </c>
      <c r="C3" s="7" t="s">
        <v>7</v>
      </c>
      <c r="D3" s="8" t="s">
        <v>8</v>
      </c>
      <c r="E3" s="9" t="s">
        <v>6</v>
      </c>
      <c r="F3" s="9" t="s">
        <v>7</v>
      </c>
      <c r="G3" s="9" t="s">
        <v>8</v>
      </c>
      <c r="H3" s="15" t="s">
        <v>6</v>
      </c>
      <c r="I3" s="16" t="s">
        <v>7</v>
      </c>
      <c r="J3" s="16" t="s">
        <v>8</v>
      </c>
      <c r="K3" s="21" t="s">
        <v>6</v>
      </c>
      <c r="L3" s="22" t="s">
        <v>7</v>
      </c>
      <c r="M3" s="22" t="s">
        <v>8</v>
      </c>
      <c r="N3" s="27" t="s">
        <v>6</v>
      </c>
      <c r="O3" s="28" t="s">
        <v>7</v>
      </c>
      <c r="P3" s="28" t="s">
        <v>8</v>
      </c>
      <c r="Q3" s="39" t="s">
        <v>6</v>
      </c>
      <c r="R3" s="40" t="s">
        <v>7</v>
      </c>
      <c r="S3" s="40" t="s">
        <v>8</v>
      </c>
      <c r="T3" s="33" t="s">
        <v>6</v>
      </c>
      <c r="U3" s="34" t="s">
        <v>7</v>
      </c>
      <c r="V3" s="35" t="s">
        <v>8</v>
      </c>
    </row>
    <row r="4" spans="1:22" x14ac:dyDescent="0.35">
      <c r="A4" s="2" t="s">
        <v>9</v>
      </c>
      <c r="B4" s="4">
        <v>0.25700000000000001</v>
      </c>
      <c r="C4" s="4">
        <v>0.23100000000000001</v>
      </c>
      <c r="D4" s="5">
        <v>0.109</v>
      </c>
      <c r="E4" s="10">
        <v>0.214</v>
      </c>
      <c r="F4" s="11">
        <v>0.185</v>
      </c>
      <c r="G4" s="12">
        <v>8.4000000000000005E-2</v>
      </c>
      <c r="H4" s="17">
        <v>0.214</v>
      </c>
      <c r="I4" s="18">
        <v>0.184</v>
      </c>
      <c r="J4" s="19">
        <v>8.4000000000000005E-2</v>
      </c>
      <c r="K4" s="23">
        <v>0.21299999999999999</v>
      </c>
      <c r="L4" s="24">
        <v>0.184</v>
      </c>
      <c r="M4" s="25">
        <v>8.4000000000000005E-2</v>
      </c>
      <c r="N4" s="29">
        <v>0.214</v>
      </c>
      <c r="O4" s="30">
        <v>0.184</v>
      </c>
      <c r="P4" s="31">
        <v>8.4000000000000005E-2</v>
      </c>
      <c r="Q4" s="41">
        <v>0.21</v>
      </c>
      <c r="R4" s="42">
        <v>0.183</v>
      </c>
      <c r="S4" s="43">
        <v>8.4000000000000005E-2</v>
      </c>
      <c r="T4" s="36">
        <v>0.21199999999999999</v>
      </c>
      <c r="U4" s="37">
        <v>0.183</v>
      </c>
      <c r="V4" s="38">
        <v>8.3000000000000004E-2</v>
      </c>
    </row>
    <row r="5" spans="1:22" x14ac:dyDescent="0.35">
      <c r="A5" s="3" t="s">
        <v>10</v>
      </c>
      <c r="B5" s="7">
        <v>0.44800000000000001</v>
      </c>
      <c r="C5" s="7">
        <v>0.45700000000000002</v>
      </c>
      <c r="D5" s="8">
        <v>0.23300000000000001</v>
      </c>
      <c r="E5" s="13">
        <v>0.28899999999999998</v>
      </c>
      <c r="F5" s="9">
        <v>0.29699999999999999</v>
      </c>
      <c r="G5" s="14">
        <v>0.152</v>
      </c>
      <c r="H5" s="15">
        <v>0.31</v>
      </c>
      <c r="I5" s="16">
        <v>0.32</v>
      </c>
      <c r="J5" s="20">
        <v>0.16200000000000001</v>
      </c>
      <c r="K5" s="21">
        <v>0.29199999999999998</v>
      </c>
      <c r="L5" s="22">
        <v>0.26400000000000001</v>
      </c>
      <c r="M5" s="26">
        <v>0.127</v>
      </c>
      <c r="N5" s="27">
        <v>0.28799999999999998</v>
      </c>
      <c r="O5" s="28">
        <v>0.254</v>
      </c>
      <c r="P5" s="32">
        <v>0.123</v>
      </c>
      <c r="Q5" s="39">
        <v>0.29299999999999998</v>
      </c>
      <c r="R5" s="40">
        <v>0.26700000000000002</v>
      </c>
      <c r="S5" s="44">
        <v>0.125</v>
      </c>
      <c r="T5" s="33">
        <v>0.29399999999999998</v>
      </c>
      <c r="U5" s="34">
        <v>0.25700000000000001</v>
      </c>
      <c r="V5" s="35">
        <v>0.14699999999999999</v>
      </c>
    </row>
    <row r="6" spans="1:22" x14ac:dyDescent="0.35">
      <c r="A6" s="5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"/>
      <c r="C8" s="1"/>
      <c r="D8" s="1"/>
      <c r="E8" s="60" t="s">
        <v>6</v>
      </c>
      <c r="F8" s="61" t="s">
        <v>7</v>
      </c>
      <c r="G8" s="61" t="s">
        <v>8</v>
      </c>
      <c r="H8" s="66" t="s">
        <v>6</v>
      </c>
      <c r="I8" s="67" t="s">
        <v>7</v>
      </c>
      <c r="J8" s="67" t="s">
        <v>8</v>
      </c>
      <c r="K8" s="70" t="s">
        <v>6</v>
      </c>
      <c r="L8" s="71" t="s">
        <v>7</v>
      </c>
      <c r="M8" s="71" t="s">
        <v>8</v>
      </c>
      <c r="N8" s="74" t="s">
        <v>6</v>
      </c>
      <c r="O8" s="75" t="s">
        <v>7</v>
      </c>
      <c r="P8" s="75" t="s">
        <v>8</v>
      </c>
      <c r="Q8" s="78" t="s">
        <v>6</v>
      </c>
      <c r="R8" s="79" t="s">
        <v>7</v>
      </c>
      <c r="S8" s="79" t="s">
        <v>8</v>
      </c>
      <c r="T8" s="82" t="s">
        <v>6</v>
      </c>
      <c r="U8" s="83" t="s">
        <v>7</v>
      </c>
      <c r="V8" s="84" t="s">
        <v>8</v>
      </c>
    </row>
    <row r="9" spans="1:22" x14ac:dyDescent="0.35">
      <c r="A9" s="113" t="s">
        <v>22</v>
      </c>
      <c r="B9" s="114"/>
      <c r="C9" s="115"/>
      <c r="D9" s="2" t="s">
        <v>4</v>
      </c>
      <c r="E9" s="62">
        <f t="shared" ref="E9:G10" si="0">((B4-E4)/B4)*100</f>
        <v>16.731517509727631</v>
      </c>
      <c r="F9" s="63">
        <f t="shared" si="0"/>
        <v>19.913419913419919</v>
      </c>
      <c r="G9" s="63">
        <f t="shared" si="0"/>
        <v>22.935779816513758</v>
      </c>
      <c r="H9" s="68">
        <f t="shared" ref="H9:J10" si="1">((B4-H4)/B4)*100</f>
        <v>16.731517509727631</v>
      </c>
      <c r="I9" s="68">
        <f t="shared" si="1"/>
        <v>20.346320346320351</v>
      </c>
      <c r="J9" s="68">
        <f t="shared" si="1"/>
        <v>22.935779816513758</v>
      </c>
      <c r="K9" s="72">
        <f t="shared" ref="K9:M10" si="2">((B4-K4)/B4)*100</f>
        <v>17.120622568093388</v>
      </c>
      <c r="L9" s="72">
        <f t="shared" si="2"/>
        <v>20.346320346320351</v>
      </c>
      <c r="M9" s="72">
        <f t="shared" si="2"/>
        <v>22.935779816513758</v>
      </c>
      <c r="N9" s="76">
        <f t="shared" ref="N9:P10" si="3">((B4-N4)/B4)*100</f>
        <v>16.731517509727631</v>
      </c>
      <c r="O9" s="76">
        <f t="shared" si="3"/>
        <v>20.346320346320351</v>
      </c>
      <c r="P9" s="76">
        <f t="shared" si="3"/>
        <v>22.935779816513758</v>
      </c>
      <c r="Q9" s="80">
        <f t="shared" ref="Q9:S10" si="4">((B4-Q4)/B4)*100</f>
        <v>18.287937743190668</v>
      </c>
      <c r="R9" s="80">
        <f t="shared" si="4"/>
        <v>20.779220779220783</v>
      </c>
      <c r="S9" s="80">
        <f t="shared" si="4"/>
        <v>22.935779816513758</v>
      </c>
      <c r="T9" s="85">
        <f t="shared" ref="T9:V10" si="5">((B4-T4)/B4)*100</f>
        <v>17.509727626459149</v>
      </c>
      <c r="U9" s="85">
        <f t="shared" si="5"/>
        <v>20.779220779220783</v>
      </c>
      <c r="V9" s="86">
        <f t="shared" si="5"/>
        <v>23.853211009174309</v>
      </c>
    </row>
    <row r="10" spans="1:22" x14ac:dyDescent="0.35">
      <c r="A10" s="116"/>
      <c r="B10" s="117"/>
      <c r="C10" s="118"/>
      <c r="D10" s="3" t="s">
        <v>5</v>
      </c>
      <c r="E10" s="64">
        <f t="shared" si="0"/>
        <v>35.491071428571438</v>
      </c>
      <c r="F10" s="65">
        <f t="shared" si="0"/>
        <v>35.010940919037203</v>
      </c>
      <c r="G10" s="65">
        <f t="shared" si="0"/>
        <v>34.763948497854081</v>
      </c>
      <c r="H10" s="69">
        <f t="shared" si="1"/>
        <v>30.803571428571431</v>
      </c>
      <c r="I10" s="69">
        <f t="shared" si="1"/>
        <v>29.978118161925604</v>
      </c>
      <c r="J10" s="69">
        <f t="shared" si="1"/>
        <v>30.472103004291846</v>
      </c>
      <c r="K10" s="73">
        <f t="shared" si="2"/>
        <v>34.821428571428577</v>
      </c>
      <c r="L10" s="73">
        <f t="shared" si="2"/>
        <v>42.23194748358862</v>
      </c>
      <c r="M10" s="73">
        <f t="shared" si="2"/>
        <v>45.493562231759661</v>
      </c>
      <c r="N10" s="77">
        <f t="shared" si="3"/>
        <v>35.714285714285722</v>
      </c>
      <c r="O10" s="77">
        <f t="shared" si="3"/>
        <v>44.420131291028447</v>
      </c>
      <c r="P10" s="77">
        <f t="shared" si="3"/>
        <v>47.210300429184556</v>
      </c>
      <c r="Q10" s="81">
        <f t="shared" si="4"/>
        <v>34.598214285714292</v>
      </c>
      <c r="R10" s="81">
        <f t="shared" si="4"/>
        <v>41.575492341356671</v>
      </c>
      <c r="S10" s="81">
        <f t="shared" si="4"/>
        <v>46.351931330472105</v>
      </c>
      <c r="T10" s="87">
        <f t="shared" si="5"/>
        <v>34.375000000000007</v>
      </c>
      <c r="U10" s="87">
        <f t="shared" si="5"/>
        <v>43.763676148796499</v>
      </c>
      <c r="V10" s="88">
        <f t="shared" si="5"/>
        <v>36.909871244635198</v>
      </c>
    </row>
  </sheetData>
  <mergeCells count="12">
    <mergeCell ref="Q2:S2"/>
    <mergeCell ref="T2:V2"/>
    <mergeCell ref="A9:C10"/>
    <mergeCell ref="B1:D1"/>
    <mergeCell ref="E1:J1"/>
    <mergeCell ref="K1:P1"/>
    <mergeCell ref="Q1:V1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AA42-4488-4CA1-9FFF-180583624B7A}">
  <dimension ref="A1:H9"/>
  <sheetViews>
    <sheetView workbookViewId="0">
      <selection activeCell="D14" sqref="D14"/>
    </sheetView>
  </sheetViews>
  <sheetFormatPr defaultRowHeight="14.5" x14ac:dyDescent="0.35"/>
  <cols>
    <col min="1" max="1" width="14" customWidth="1"/>
    <col min="2" max="2" width="18.81640625" customWidth="1"/>
    <col min="3" max="3" width="16.7265625" bestFit="1" customWidth="1"/>
    <col min="4" max="4" width="20" bestFit="1" customWidth="1"/>
    <col min="5" max="5" width="16.7265625" bestFit="1" customWidth="1"/>
    <col min="6" max="6" width="20" bestFit="1" customWidth="1"/>
    <col min="7" max="7" width="16.7265625" bestFit="1" customWidth="1"/>
    <col min="8" max="8" width="20" bestFit="1" customWidth="1"/>
  </cols>
  <sheetData>
    <row r="1" spans="1:8" x14ac:dyDescent="0.35">
      <c r="A1" s="157"/>
      <c r="B1" s="102" t="s">
        <v>0</v>
      </c>
      <c r="C1" s="133" t="s">
        <v>12</v>
      </c>
      <c r="D1" s="134"/>
      <c r="E1" s="133" t="s">
        <v>13</v>
      </c>
      <c r="F1" s="134"/>
      <c r="G1" s="133" t="s">
        <v>14</v>
      </c>
      <c r="H1" s="135"/>
    </row>
    <row r="2" spans="1:8" x14ac:dyDescent="0.35">
      <c r="A2" s="157"/>
      <c r="B2" s="91"/>
      <c r="C2" s="89" t="s">
        <v>20</v>
      </c>
      <c r="D2" s="58" t="s">
        <v>21</v>
      </c>
      <c r="E2" s="57" t="s">
        <v>20</v>
      </c>
      <c r="F2" s="56" t="s">
        <v>21</v>
      </c>
      <c r="G2" s="55" t="s">
        <v>20</v>
      </c>
      <c r="H2" s="92" t="s">
        <v>21</v>
      </c>
    </row>
    <row r="3" spans="1:8" x14ac:dyDescent="0.35">
      <c r="A3" s="158"/>
      <c r="B3" s="93" t="s">
        <v>18</v>
      </c>
      <c r="C3" s="9" t="s">
        <v>18</v>
      </c>
      <c r="D3" s="15" t="s">
        <v>18</v>
      </c>
      <c r="E3" s="21" t="s">
        <v>18</v>
      </c>
      <c r="F3" s="27" t="s">
        <v>18</v>
      </c>
      <c r="G3" s="39" t="s">
        <v>18</v>
      </c>
      <c r="H3" s="94" t="s">
        <v>18</v>
      </c>
    </row>
    <row r="4" spans="1:8" x14ac:dyDescent="0.35">
      <c r="A4" s="59" t="s">
        <v>9</v>
      </c>
      <c r="B4" s="91">
        <v>56.051900000000003</v>
      </c>
      <c r="C4" s="10">
        <v>47.953099999999999</v>
      </c>
      <c r="D4" s="17">
        <v>47.843800000000002</v>
      </c>
      <c r="E4" s="23">
        <v>47.977600000000002</v>
      </c>
      <c r="F4" s="29">
        <v>47.9283</v>
      </c>
      <c r="G4" s="41">
        <v>47.795400000000001</v>
      </c>
      <c r="H4" s="95">
        <v>47.725999999999999</v>
      </c>
    </row>
    <row r="5" spans="1:8" x14ac:dyDescent="0.35">
      <c r="A5" s="90" t="s">
        <v>10</v>
      </c>
      <c r="B5" s="93">
        <v>88.332800000000006</v>
      </c>
      <c r="C5" s="13">
        <v>61.244300000000003</v>
      </c>
      <c r="D5" s="15">
        <v>60.595399999999998</v>
      </c>
      <c r="E5" s="21">
        <v>65.390799999999999</v>
      </c>
      <c r="F5" s="27">
        <v>63.0929</v>
      </c>
      <c r="G5" s="39">
        <v>68.306399999999996</v>
      </c>
      <c r="H5" s="94">
        <v>66.178200000000004</v>
      </c>
    </row>
    <row r="6" spans="1:8" x14ac:dyDescent="0.35">
      <c r="A6" s="54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x14ac:dyDescent="0.35">
      <c r="A8" s="113" t="s">
        <v>19</v>
      </c>
      <c r="B8" s="2" t="s">
        <v>4</v>
      </c>
      <c r="C8" s="62">
        <f>((B4-C4)/B4)*100</f>
        <v>14.448751960236859</v>
      </c>
      <c r="D8" s="96">
        <f>((B4-D4)/B4)*100</f>
        <v>14.643749810443538</v>
      </c>
      <c r="E8" s="72">
        <f>((B4-E4)/B4)*100</f>
        <v>14.405042469568382</v>
      </c>
      <c r="F8" s="98">
        <f>((B4-F4)/B4)*100</f>
        <v>14.492996669158408</v>
      </c>
      <c r="G8" s="80">
        <f>((B4-G4)/B4)*100</f>
        <v>14.730098355274313</v>
      </c>
      <c r="H8" s="100">
        <f>((B4-H4)/B4)*100</f>
        <v>14.853912177820918</v>
      </c>
    </row>
    <row r="9" spans="1:8" x14ac:dyDescent="0.35">
      <c r="A9" s="116"/>
      <c r="B9" s="3" t="s">
        <v>5</v>
      </c>
      <c r="C9" s="64">
        <f>((B5-C5)/B5)*100</f>
        <v>30.666411570786845</v>
      </c>
      <c r="D9" s="97">
        <f>((B5-D5)/B5)*100</f>
        <v>31.401019779742072</v>
      </c>
      <c r="E9" s="73">
        <f>((B5-E5)/B5)*100</f>
        <v>25.972232285176066</v>
      </c>
      <c r="F9" s="99">
        <f>((B5-F5)/B5)*100</f>
        <v>28.573644218229248</v>
      </c>
      <c r="G9" s="81">
        <f>((B5-G5)/B5)*100</f>
        <v>22.671533111143322</v>
      </c>
      <c r="H9" s="101">
        <f>((B5-H5)/B5)*100</f>
        <v>25.080830676713521</v>
      </c>
    </row>
  </sheetData>
  <mergeCells count="4">
    <mergeCell ref="A8:A9"/>
    <mergeCell ref="C1:D1"/>
    <mergeCell ref="E1:F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2281-D036-4F4D-A8A4-8888887F0E71}">
  <dimension ref="A1:V10"/>
  <sheetViews>
    <sheetView zoomScale="90" zoomScaleNormal="90" workbookViewId="0">
      <selection activeCell="F17" sqref="F17"/>
    </sheetView>
  </sheetViews>
  <sheetFormatPr defaultRowHeight="14.5" x14ac:dyDescent="0.35"/>
  <cols>
    <col min="1" max="1" width="13.54296875" bestFit="1" customWidth="1"/>
    <col min="2" max="2" width="10.36328125" customWidth="1"/>
    <col min="3" max="3" width="10" customWidth="1"/>
    <col min="4" max="5" width="10.1796875" customWidth="1"/>
    <col min="6" max="6" width="10.6328125" customWidth="1"/>
    <col min="7" max="7" width="10.26953125" customWidth="1"/>
    <col min="8" max="8" width="10.36328125" customWidth="1"/>
    <col min="9" max="9" width="10.26953125" customWidth="1"/>
    <col min="10" max="10" width="10.54296875" customWidth="1"/>
    <col min="11" max="11" width="10.26953125" customWidth="1"/>
    <col min="12" max="12" width="10.08984375" customWidth="1"/>
    <col min="13" max="13" width="10.26953125" customWidth="1"/>
    <col min="14" max="14" width="10.08984375" customWidth="1"/>
    <col min="15" max="15" width="10.26953125" customWidth="1"/>
    <col min="16" max="16" width="10.1796875" customWidth="1"/>
    <col min="17" max="17" width="10.26953125" customWidth="1"/>
    <col min="18" max="18" width="10.08984375" customWidth="1"/>
    <col min="19" max="19" width="9.81640625" customWidth="1"/>
    <col min="20" max="20" width="10.26953125" customWidth="1"/>
    <col min="21" max="21" width="10" customWidth="1"/>
    <col min="22" max="22" width="10.08984375" customWidth="1"/>
  </cols>
  <sheetData>
    <row r="1" spans="1:22" x14ac:dyDescent="0.35">
      <c r="A1" s="155"/>
      <c r="B1" s="103"/>
      <c r="C1" s="103"/>
      <c r="D1" s="103"/>
      <c r="E1" s="105" t="s">
        <v>12</v>
      </c>
      <c r="F1" s="106"/>
      <c r="G1" s="106"/>
      <c r="H1" s="106"/>
      <c r="I1" s="106"/>
      <c r="J1" s="107"/>
      <c r="K1" s="105" t="s">
        <v>13</v>
      </c>
      <c r="L1" s="106"/>
      <c r="M1" s="106"/>
      <c r="N1" s="106"/>
      <c r="O1" s="106"/>
      <c r="P1" s="107"/>
      <c r="Q1" s="105" t="s">
        <v>14</v>
      </c>
      <c r="R1" s="106"/>
      <c r="S1" s="106"/>
      <c r="T1" s="106"/>
      <c r="U1" s="106"/>
      <c r="V1" s="107"/>
    </row>
    <row r="2" spans="1:22" x14ac:dyDescent="0.35">
      <c r="A2" s="155"/>
      <c r="B2" s="136" t="s">
        <v>25</v>
      </c>
      <c r="C2" s="137"/>
      <c r="D2" s="138"/>
      <c r="E2" s="139" t="s">
        <v>23</v>
      </c>
      <c r="F2" s="139"/>
      <c r="G2" s="140"/>
      <c r="H2" s="141" t="s">
        <v>24</v>
      </c>
      <c r="I2" s="142"/>
      <c r="J2" s="143"/>
      <c r="K2" s="144" t="s">
        <v>23</v>
      </c>
      <c r="L2" s="145"/>
      <c r="M2" s="146"/>
      <c r="N2" s="147" t="s">
        <v>24</v>
      </c>
      <c r="O2" s="148"/>
      <c r="P2" s="149"/>
      <c r="Q2" s="150" t="s">
        <v>23</v>
      </c>
      <c r="R2" s="151"/>
      <c r="S2" s="151"/>
      <c r="T2" s="152" t="s">
        <v>24</v>
      </c>
      <c r="U2" s="153"/>
      <c r="V2" s="154"/>
    </row>
    <row r="3" spans="1:22" x14ac:dyDescent="0.35">
      <c r="A3" s="156"/>
      <c r="B3" s="6" t="s">
        <v>6</v>
      </c>
      <c r="C3" s="7" t="s">
        <v>7</v>
      </c>
      <c r="D3" s="8" t="s">
        <v>8</v>
      </c>
      <c r="E3" s="9" t="s">
        <v>6</v>
      </c>
      <c r="F3" s="9" t="s">
        <v>7</v>
      </c>
      <c r="G3" s="9" t="s">
        <v>8</v>
      </c>
      <c r="H3" s="15" t="s">
        <v>6</v>
      </c>
      <c r="I3" s="16" t="s">
        <v>7</v>
      </c>
      <c r="J3" s="16" t="s">
        <v>8</v>
      </c>
      <c r="K3" s="21" t="s">
        <v>6</v>
      </c>
      <c r="L3" s="22" t="s">
        <v>7</v>
      </c>
      <c r="M3" s="22" t="s">
        <v>8</v>
      </c>
      <c r="N3" s="27" t="s">
        <v>6</v>
      </c>
      <c r="O3" s="28" t="s">
        <v>7</v>
      </c>
      <c r="P3" s="28" t="s">
        <v>8</v>
      </c>
      <c r="Q3" s="39" t="s">
        <v>6</v>
      </c>
      <c r="R3" s="40" t="s">
        <v>7</v>
      </c>
      <c r="S3" s="40" t="s">
        <v>8</v>
      </c>
      <c r="T3" s="33" t="s">
        <v>6</v>
      </c>
      <c r="U3" s="34" t="s">
        <v>7</v>
      </c>
      <c r="V3" s="35" t="s">
        <v>8</v>
      </c>
    </row>
    <row r="4" spans="1:22" x14ac:dyDescent="0.35">
      <c r="A4" s="2" t="s">
        <v>9</v>
      </c>
      <c r="B4" s="4">
        <v>2.4801000000000002</v>
      </c>
      <c r="C4" s="4">
        <v>2.8721000000000001</v>
      </c>
      <c r="D4" s="5">
        <v>3.1371000000000002</v>
      </c>
      <c r="E4" s="10">
        <v>2.2370000000000001</v>
      </c>
      <c r="F4" s="11">
        <v>2.3201999999999998</v>
      </c>
      <c r="G4" s="12">
        <v>2.3573</v>
      </c>
      <c r="H4" s="17">
        <v>2.2345999999999999</v>
      </c>
      <c r="I4" s="18">
        <v>2.3090999999999999</v>
      </c>
      <c r="J4" s="19">
        <v>2.3468</v>
      </c>
      <c r="K4" s="23">
        <v>2.2372000000000001</v>
      </c>
      <c r="L4" s="24">
        <v>2.3186</v>
      </c>
      <c r="M4" s="25">
        <v>2.3589000000000002</v>
      </c>
      <c r="N4" s="29">
        <v>2.2381000000000002</v>
      </c>
      <c r="O4" s="30">
        <v>2.3136000000000001</v>
      </c>
      <c r="P4" s="31">
        <v>2.3515999999999999</v>
      </c>
      <c r="Q4" s="41">
        <v>2.2313000000000001</v>
      </c>
      <c r="R4" s="42">
        <v>2.3060999999999998</v>
      </c>
      <c r="S4" s="43">
        <v>2.3462000000000001</v>
      </c>
      <c r="T4" s="36">
        <v>2.2317999999999998</v>
      </c>
      <c r="U4" s="37">
        <v>2.3003</v>
      </c>
      <c r="V4" s="38">
        <v>2.3336000000000001</v>
      </c>
    </row>
    <row r="5" spans="1:22" x14ac:dyDescent="0.35">
      <c r="A5" s="3" t="s">
        <v>10</v>
      </c>
      <c r="B5" s="7">
        <v>3.0948000000000002</v>
      </c>
      <c r="C5" s="7">
        <v>5.5907</v>
      </c>
      <c r="D5" s="8">
        <v>7.0888</v>
      </c>
      <c r="E5" s="13">
        <v>2.8769</v>
      </c>
      <c r="F5" s="9">
        <v>3.5539000000000001</v>
      </c>
      <c r="G5" s="14">
        <v>4.5697000000000001</v>
      </c>
      <c r="H5" s="15">
        <v>2.8353000000000002</v>
      </c>
      <c r="I5" s="16">
        <v>3.8574999999999999</v>
      </c>
      <c r="J5" s="20">
        <v>4.8425000000000002</v>
      </c>
      <c r="K5" s="21">
        <v>3.0716999999999999</v>
      </c>
      <c r="L5" s="22">
        <v>3.2951999999999999</v>
      </c>
      <c r="M5" s="26">
        <v>3.8208000000000002</v>
      </c>
      <c r="N5" s="27">
        <v>3.0253999999999999</v>
      </c>
      <c r="O5" s="28">
        <v>3.2012999999999998</v>
      </c>
      <c r="P5" s="32">
        <v>3.7305000000000001</v>
      </c>
      <c r="Q5" s="39">
        <v>3.0560999999999998</v>
      </c>
      <c r="R5" s="40">
        <v>3.3679000000000001</v>
      </c>
      <c r="S5" s="44">
        <v>3.6671</v>
      </c>
      <c r="T5" s="33">
        <v>3.0205000000000002</v>
      </c>
      <c r="U5" s="34">
        <v>3.2336999999999998</v>
      </c>
      <c r="V5" s="35">
        <v>3.4725999999999999</v>
      </c>
    </row>
    <row r="6" spans="1:22" x14ac:dyDescent="0.35">
      <c r="A6" s="5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"/>
      <c r="C8" s="1"/>
      <c r="D8" s="1"/>
      <c r="E8" s="60" t="s">
        <v>6</v>
      </c>
      <c r="F8" s="61" t="s">
        <v>7</v>
      </c>
      <c r="G8" s="61" t="s">
        <v>8</v>
      </c>
      <c r="H8" s="66" t="s">
        <v>6</v>
      </c>
      <c r="I8" s="67" t="s">
        <v>7</v>
      </c>
      <c r="J8" s="67" t="s">
        <v>8</v>
      </c>
      <c r="K8" s="70" t="s">
        <v>6</v>
      </c>
      <c r="L8" s="71" t="s">
        <v>7</v>
      </c>
      <c r="M8" s="71" t="s">
        <v>8</v>
      </c>
      <c r="N8" s="74" t="s">
        <v>6</v>
      </c>
      <c r="O8" s="75" t="s">
        <v>7</v>
      </c>
      <c r="P8" s="75" t="s">
        <v>8</v>
      </c>
      <c r="Q8" s="78" t="s">
        <v>6</v>
      </c>
      <c r="R8" s="79" t="s">
        <v>7</v>
      </c>
      <c r="S8" s="79" t="s">
        <v>8</v>
      </c>
      <c r="T8" s="82" t="s">
        <v>6</v>
      </c>
      <c r="U8" s="83" t="s">
        <v>7</v>
      </c>
      <c r="V8" s="84" t="s">
        <v>8</v>
      </c>
    </row>
    <row r="9" spans="1:22" x14ac:dyDescent="0.35">
      <c r="A9" s="113" t="s">
        <v>22</v>
      </c>
      <c r="B9" s="114"/>
      <c r="C9" s="115"/>
      <c r="D9" s="2" t="s">
        <v>4</v>
      </c>
      <c r="E9" s="62">
        <f t="shared" ref="E9:G10" si="0">((B4-E4)/B4)*100</f>
        <v>9.8020241119309741</v>
      </c>
      <c r="F9" s="63">
        <f t="shared" si="0"/>
        <v>19.215904738692952</v>
      </c>
      <c r="G9" s="63">
        <f t="shared" si="0"/>
        <v>24.857352331771388</v>
      </c>
      <c r="H9" s="68">
        <f t="shared" ref="H9:J10" si="1">((B4-H4)/B4)*100</f>
        <v>9.8987944034514843</v>
      </c>
      <c r="I9" s="68">
        <f t="shared" si="1"/>
        <v>19.602381532676443</v>
      </c>
      <c r="J9" s="68">
        <f t="shared" si="1"/>
        <v>25.192056357782672</v>
      </c>
      <c r="K9" s="72">
        <f t="shared" ref="K9:M10" si="2">((B4-K4)/B4)*100</f>
        <v>9.7939599209709325</v>
      </c>
      <c r="L9" s="72">
        <f t="shared" si="2"/>
        <v>19.271613105393271</v>
      </c>
      <c r="M9" s="72">
        <f t="shared" si="2"/>
        <v>24.80634981352204</v>
      </c>
      <c r="N9" s="76">
        <f t="shared" ref="N9:P10" si="3">((B4-N4)/B4)*100</f>
        <v>9.7576710616507381</v>
      </c>
      <c r="O9" s="76">
        <f t="shared" si="3"/>
        <v>19.445701751331779</v>
      </c>
      <c r="P9" s="76">
        <f t="shared" si="3"/>
        <v>25.039048803034657</v>
      </c>
      <c r="Q9" s="80">
        <f t="shared" ref="Q9:S10" si="4">((B4-Q4)/B4)*100</f>
        <v>10.031853554292171</v>
      </c>
      <c r="R9" s="80">
        <f t="shared" si="4"/>
        <v>19.706834720239556</v>
      </c>
      <c r="S9" s="80">
        <f t="shared" si="4"/>
        <v>25.211182302126172</v>
      </c>
      <c r="T9" s="85">
        <f t="shared" ref="T9:V10" si="5">((B4-T4)/B4)*100</f>
        <v>10.011693076892076</v>
      </c>
      <c r="U9" s="85">
        <f t="shared" si="5"/>
        <v>19.908777549528224</v>
      </c>
      <c r="V9" s="86">
        <f t="shared" si="5"/>
        <v>25.61282713333971</v>
      </c>
    </row>
    <row r="10" spans="1:22" x14ac:dyDescent="0.35">
      <c r="A10" s="116"/>
      <c r="B10" s="117"/>
      <c r="C10" s="118"/>
      <c r="D10" s="3" t="s">
        <v>5</v>
      </c>
      <c r="E10" s="64">
        <f t="shared" si="0"/>
        <v>7.0408427038904025</v>
      </c>
      <c r="F10" s="65">
        <f t="shared" si="0"/>
        <v>36.431931600694007</v>
      </c>
      <c r="G10" s="65">
        <f t="shared" si="0"/>
        <v>35.536339013655343</v>
      </c>
      <c r="H10" s="69">
        <f t="shared" si="1"/>
        <v>8.3850329585110508</v>
      </c>
      <c r="I10" s="69">
        <f>((C5-I5)/C5)*100</f>
        <v>31.00148460836747</v>
      </c>
      <c r="J10" s="69">
        <f>((D5-J5)/D5)*100</f>
        <v>31.688014896738515</v>
      </c>
      <c r="K10" s="73">
        <f t="shared" si="2"/>
        <v>0.74641333850330682</v>
      </c>
      <c r="L10" s="73">
        <f t="shared" si="2"/>
        <v>41.05925912676409</v>
      </c>
      <c r="M10" s="73">
        <f t="shared" si="2"/>
        <v>46.100891547229431</v>
      </c>
      <c r="N10" s="77">
        <f t="shared" si="3"/>
        <v>2.2424712420835062</v>
      </c>
      <c r="O10" s="77">
        <f t="shared" si="3"/>
        <v>42.738834135260348</v>
      </c>
      <c r="P10" s="77">
        <f t="shared" si="3"/>
        <v>47.37473197156077</v>
      </c>
      <c r="Q10" s="81">
        <f>((B5-Q5)/B5)*100</f>
        <v>1.2504846839860539</v>
      </c>
      <c r="R10" s="81">
        <f t="shared" si="4"/>
        <v>39.758885291645051</v>
      </c>
      <c r="S10" s="81">
        <f t="shared" si="4"/>
        <v>48.269100552984987</v>
      </c>
      <c r="T10" s="87">
        <f t="shared" si="5"/>
        <v>2.4008013441902554</v>
      </c>
      <c r="U10" s="87">
        <f t="shared" si="5"/>
        <v>42.159300266514038</v>
      </c>
      <c r="V10" s="88">
        <f t="shared" si="5"/>
        <v>51.012865365082952</v>
      </c>
    </row>
  </sheetData>
  <mergeCells count="12">
    <mergeCell ref="A9:C10"/>
    <mergeCell ref="K1:P1"/>
    <mergeCell ref="Q1:V1"/>
    <mergeCell ref="B2:D2"/>
    <mergeCell ref="E2:G2"/>
    <mergeCell ref="H2:J2"/>
    <mergeCell ref="K2:M2"/>
    <mergeCell ref="N2:P2"/>
    <mergeCell ref="Q2:S2"/>
    <mergeCell ref="T2:V2"/>
    <mergeCell ref="B1:D1"/>
    <mergeCell ref="E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Displacement</vt:lpstr>
      <vt:lpstr>Story Drift</vt:lpstr>
      <vt:lpstr>Base Shear</vt:lpstr>
      <vt:lpstr>Peak |acceleration|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 Azimi</dc:creator>
  <cp:lastModifiedBy>Mohammad Ali Azimi</cp:lastModifiedBy>
  <dcterms:created xsi:type="dcterms:W3CDTF">2025-11-19T23:42:00Z</dcterms:created>
  <dcterms:modified xsi:type="dcterms:W3CDTF">2025-11-21T02:02:54Z</dcterms:modified>
</cp:coreProperties>
</file>